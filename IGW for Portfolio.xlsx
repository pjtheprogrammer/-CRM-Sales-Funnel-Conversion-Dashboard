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0efedc2110567a/Documents/"/>
    </mc:Choice>
  </mc:AlternateContent>
  <xr:revisionPtr revIDLastSave="9" documentId="13_ncr:1_{B033612A-22C7-428F-BC10-34C529A26E01}" xr6:coauthVersionLast="47" xr6:coauthVersionMax="47" xr10:uidLastSave="{185DB74E-8227-47E7-B708-09FF7C39F0E5}"/>
  <bookViews>
    <workbookView xWindow="-110" yWindow="-110" windowWidth="19420" windowHeight="10300" firstSheet="1" activeTab="1" xr2:uid="{DBA57BBF-DC5C-4910-9199-610B8AEC199D}"/>
  </bookViews>
  <sheets>
    <sheet name="Current" sheetId="18" r:id="rId1"/>
    <sheet name="Dashboard" sheetId="19" r:id="rId2"/>
    <sheet name="Abandoned Analysis" sheetId="20" r:id="rId3"/>
    <sheet name="Won" sheetId="23" r:id="rId4"/>
    <sheet name="Master" sheetId="24" r:id="rId5"/>
    <sheet name="Won_Diary_Query" sheetId="22" r:id="rId6"/>
    <sheet name="Abandoned_Diary_Query" sheetId="17" r:id="rId7"/>
  </sheets>
  <definedNames>
    <definedName name="ExternalData_1" localSheetId="6" hidden="1">Abandoned_Diary_Query!$A$1:$V$4</definedName>
    <definedName name="ExternalData_2" localSheetId="5" hidden="1">Won_Diary_Query!$A$1:$V$13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S Marketing Tracker xlsx_3f7e70ec-3e90-468a-82b6-7956a7c6a277" name="LS Marketing Tracker xlsx" connection="Query - LS Marketing Tracker xlsx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2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B76CE6-5A94-44A3-AE52-38415BCF704C}" keepAlive="1" name="Query - Abandoned From Last Month" description="Connection to the 'Abandoned From Last Month' query in the workbook." type="5" refreshedVersion="8" background="1" saveData="1">
    <dbPr connection="Provider=Microsoft.Mashup.OleDb.1;Data Source=$Workbook$;Location=&quot;Abandoned From Last Month&quot;;Extended Properties=&quot;&quot;" command="SELECT * FROM [Abandoned From Last Month]"/>
  </connection>
  <connection id="2" xr16:uid="{93228F3A-4C12-4DC0-93CF-952B32AAD511}" keepAlive="1" name="Query - Abandoned_Diary_Query" description="Connection to the 'Abandoned_Diary_Query' query in the workbook." type="5" refreshedVersion="8" background="1" saveData="1">
    <dbPr connection="Provider=Microsoft.Mashup.OleDb.1;Data Source=$Workbook$;Location=Abandoned_Diary_Query;Extended Properties=&quot;&quot;" command="SELECT * FROM [Abandoned_Diary_Query]"/>
  </connection>
  <connection id="3" xr16:uid="{A70F1280-2649-4725-B8F7-182EB71327F9}" keepAlive="1" name="Query - Conversions" description="Connection to the 'Conversions' query in the workbook." type="5" refreshedVersion="0" background="1" saveData="1">
    <dbPr connection="Provider=Microsoft.Mashup.OleDb.1;Data Source=$Workbook$;Location=Conversions;Extended Properties=&quot;&quot;" command="SELECT * FROM [Conversions]"/>
  </connection>
  <connection id="4" xr16:uid="{C3834B51-28D4-4E8C-8449-D826F7CA1B16}" keepAlive="1" name="Query - Conversions1" description="Connection to the 'Conversions' query in the workbook." type="5" refreshedVersion="8" background="1" saveData="1">
    <dbPr connection="Provider=Microsoft.Mashup.OleDb.1;Data Source=$Workbook$;Location=Conversions;Extended Properties=&quot;&quot;" command="SELECT * FROM [Conversions]"/>
  </connection>
  <connection id="5" xr16:uid="{AFFD0BEB-CD89-45F9-A204-5253034A5291}" keepAlive="1" name="Query - Current" description="Connection to the 'Current' query in the workbook." type="5" refreshedVersion="8" background="1" saveData="1">
    <dbPr connection="Provider=Microsoft.Mashup.OleDb.1;Data Source=$Workbook$;Location=Current;Extended Properties=&quot;&quot;" command="SELECT * FROM [Current]"/>
  </connection>
  <connection id="6" xr16:uid="{336A1158-9EA4-4545-A1D5-CA458B9CB2AA}" name="Query - LS Marketing Tracker xlsx" description="Connection to the 'LS Marketing Tracker xlsx' query in the workbook." type="100" refreshedVersion="8" minRefreshableVersion="5">
    <extLst>
      <ext xmlns:x15="http://schemas.microsoft.com/office/spreadsheetml/2010/11/main" uri="{DE250136-89BD-433C-8126-D09CA5730AF9}">
        <x15:connection id="4641d6a0-1d38-4a4e-9930-75b8e9b68d8d"/>
      </ext>
    </extLst>
  </connection>
  <connection id="7" xr16:uid="{66B864D1-C45D-4084-87AE-0FA6A5F1FC78}" keepAlive="1" name="Query - RemoveNullRows" description="Connection to the 'RemoveNullRows' query in the workbook." type="5" refreshedVersion="0" background="1">
    <dbPr connection="Provider=Microsoft.Mashup.OleDb.1;Data Source=$Workbook$;Location=RemoveNullRows;Extended Properties=&quot;&quot;" command="SELECT * FROM [RemoveNullRows]"/>
  </connection>
  <connection id="8" xr16:uid="{9D465F38-197F-4E69-9CDB-86362A08F373}" keepAlive="1" name="Query - Won_Diary_Query" description="Connection to the 'Won_Diary_Query' query in the workbook." type="5" refreshedVersion="8" background="1" saveData="1">
    <dbPr connection="Provider=Microsoft.Mashup.OleDb.1;Data Source=$Workbook$;Location=Won_Diary_Query;Extended Properties=&quot;&quot;" command="SELECT * FROM [Won_Diary_Query]"/>
  </connection>
  <connection id="9" xr16:uid="{06E81CE7-557C-4DB8-9AF1-21C400B210D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<sst xmlns="http://schemas.openxmlformats.org/spreadsheetml/2006/main" count="183" uniqueCount="97">
  <si>
    <t>Topic</t>
  </si>
  <si>
    <t>Performance Marketing</t>
  </si>
  <si>
    <t>DTC</t>
  </si>
  <si>
    <t>Procurement</t>
  </si>
  <si>
    <t>Content</t>
  </si>
  <si>
    <t>AI/GenAI</t>
  </si>
  <si>
    <t>Status</t>
  </si>
  <si>
    <t>Comments</t>
  </si>
  <si>
    <t>AbbVie</t>
  </si>
  <si>
    <t>Y</t>
  </si>
  <si>
    <t>Discussion</t>
  </si>
  <si>
    <t>GEO</t>
  </si>
  <si>
    <t>Agentic affiliates</t>
  </si>
  <si>
    <t>Wolfgang</t>
  </si>
  <si>
    <t>No follow ups on DTC</t>
  </si>
  <si>
    <t>Amgen</t>
  </si>
  <si>
    <t>Akshay</t>
  </si>
  <si>
    <t>Proposal</t>
  </si>
  <si>
    <t>Astellas</t>
  </si>
  <si>
    <t>Laura P</t>
  </si>
  <si>
    <t>Project NEXUS (commercial ops)</t>
  </si>
  <si>
    <t>Until end of March</t>
  </si>
  <si>
    <t>AstraZeneca</t>
  </si>
  <si>
    <t>Confirmed program incl. content + marketeer of the future</t>
  </si>
  <si>
    <t>B&amp;L</t>
  </si>
  <si>
    <t>Pepe</t>
  </si>
  <si>
    <t>Digital transformation (tech stack)</t>
  </si>
  <si>
    <t>Digital marketing tranformation ongoing</t>
  </si>
  <si>
    <t>Bausch</t>
  </si>
  <si>
    <t>Marketing Optimization diagnostic</t>
  </si>
  <si>
    <t>Potential cost oppy for Xifaxan</t>
  </si>
  <si>
    <t>Umut</t>
  </si>
  <si>
    <t>JD</t>
  </si>
  <si>
    <t>GSK</t>
  </si>
  <si>
    <t>Commercial AI strategy</t>
  </si>
  <si>
    <t>J&amp;J</t>
  </si>
  <si>
    <t>AI in commercial portfolio</t>
  </si>
  <si>
    <t>Asli</t>
  </si>
  <si>
    <t>Merck AH</t>
  </si>
  <si>
    <t>Laura, Wolfgang</t>
  </si>
  <si>
    <t>Active until end 2/6</t>
  </si>
  <si>
    <t>Merck HH</t>
  </si>
  <si>
    <t>Marketing Modernization &amp; Content Acceleration</t>
  </si>
  <si>
    <t>Akshay, Abhi</t>
  </si>
  <si>
    <t>Complete</t>
  </si>
  <si>
    <t>Pfizer</t>
  </si>
  <si>
    <t>CMO/AI roadmap</t>
  </si>
  <si>
    <t>Go back to Judy and Manuel on JO</t>
  </si>
  <si>
    <t>Viatris</t>
  </si>
  <si>
    <t>Luca, Imran</t>
  </si>
  <si>
    <t>didn't go through</t>
  </si>
  <si>
    <t>Content op model</t>
  </si>
  <si>
    <t>Akash</t>
  </si>
  <si>
    <t>Sherin</t>
  </si>
  <si>
    <t>Current phase until March/April</t>
  </si>
  <si>
    <t>Month Tracker</t>
  </si>
  <si>
    <t>Client Name</t>
  </si>
  <si>
    <t>Overall Marketing</t>
  </si>
  <si>
    <t>Org/Capabilities</t>
  </si>
  <si>
    <t>Medical Content</t>
  </si>
  <si>
    <t>Domain Lead</t>
  </si>
  <si>
    <t>CST Contact</t>
  </si>
  <si>
    <t>Date Added/Updated</t>
  </si>
  <si>
    <t>Data.Column16</t>
  </si>
  <si>
    <t>Data.Column17</t>
  </si>
  <si>
    <t>Data.Column18</t>
  </si>
  <si>
    <t>Data.Column19</t>
  </si>
  <si>
    <t>Data.Column20</t>
  </si>
  <si>
    <t>Client tracker_Feb2026</t>
  </si>
  <si>
    <t>Active</t>
  </si>
  <si>
    <t>Growth/Media</t>
  </si>
  <si>
    <t>Brand strategy</t>
  </si>
  <si>
    <t>Commercial transformation</t>
  </si>
  <si>
    <t>Client tracker_Jan2026</t>
  </si>
  <si>
    <t>Follow up with Wolfgang - follow up with Jeff</t>
  </si>
  <si>
    <t>GenAI content generation</t>
  </si>
  <si>
    <t>MLR and Content Creation</t>
  </si>
  <si>
    <t>Deal ID</t>
  </si>
  <si>
    <t>AbbVie_Agentic affiliates</t>
  </si>
  <si>
    <t>Amgen_Growth/Media</t>
  </si>
  <si>
    <t>Astellas_Brand strategy</t>
  </si>
  <si>
    <t>Astellas_Project NEXUS (commercial ops)</t>
  </si>
  <si>
    <t>AstraZeneca_Commercial transformation</t>
  </si>
  <si>
    <t>B&amp;L_Digital transformation (tech stack)</t>
  </si>
  <si>
    <t>Bausch_Marketing Optimization diagnostic</t>
  </si>
  <si>
    <t>J&amp;J_AI in commercial portfolio</t>
  </si>
  <si>
    <t>Merck AH_GEO</t>
  </si>
  <si>
    <t>Merck HH_Marketing Modernization &amp; Content Acceleration</t>
  </si>
  <si>
    <t>Pfizer_CMO/AI roadmap</t>
  </si>
  <si>
    <t>Viatris_Content op model</t>
  </si>
  <si>
    <t>GSK_Commercial AI strategy</t>
  </si>
  <si>
    <t>Viatris_GenAI content generation</t>
  </si>
  <si>
    <t>Viatris_MLR and Content Creation</t>
  </si>
  <si>
    <t>Row Labels</t>
  </si>
  <si>
    <t>Grand Total</t>
  </si>
  <si>
    <t>Count of Deal ID</t>
  </si>
  <si>
    <t>Distinct Count of Deal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</si>
</sst>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</cellXfs>
  <cellStyles count="2">
    <cellStyle name="Normal" xfId="0" builtinId="0"/>
    <cellStyle name="Percent" xfId="1" builtinId="5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[IGW for Portfolio.xlsx]Current!PivotTable3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Active Pipeline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Current!$B$1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Current!$A$2:$A$6</c:f>
              <c:strCache>
                <c:ptCount val="4"/>
                <c:pt idx="0">
                  <c:v>Discussion</c:v>
                </c:pt>
                <c:pt idx="1">
                  <c:v>Proposal</c:v>
                </c:pt>
                <c:pt idx="2">
                  <c:v>Active</c:v>
                </c:pt>
                <c:pt idx="3">
                  <c:v>Complete</c:v>
                </c:pt>
              </c:strCache>
            </c:strRef>
          </c:cat>
          <c:val>
            <c:numRef>
              <c:f>Current!$B$2:$B$6</c:f>
              <c:numCache>
                <c:formatCode>General</c:formatCode>
                <c:ptCount val="4"/>
                <c:pt idx="0">
                  <c:v>23</c:v>
                </c:pt>
                <c:pt idx="1">
                  <c:v>8</c:v>
                </c:pt>
                <c:pt idx="2">
                  <c:v>12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F-4340-AC1C-BFABA589B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6981151"/>
        <c:axId val="236979711"/>
      </c:barChart>
      <c:catAx>
        <c:axId val="236981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979711"/>
        <c:crosses val="autoZero"/>
        <c:auto val="1"/>
        <c:lblAlgn val="ctr"/>
        <c:lblOffset val="100"/>
        <c:noMultiLvlLbl val="0"/>
      </c:catAx>
      <c:valAx>
        <c:axId val="23697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98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[IGW for Portfolio.xlsx]Abandoned 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Deal Drop-off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'Abandoned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'Abandoned Analysis'!$A$4:$A$5</c:f>
              <c:strCache>
                <c:ptCount val="1"/>
                <c:pt idx="0">
                  <c:v>Discussion</c:v>
                </c:pt>
              </c:strCache>
            </c:strRef>
          </c:cat>
          <c:val>
            <c:numRef>
              <c:f>'Abandoned Analysis'!$B$4:$B$5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F-47D1-8B91-4F96CD0A4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3098672"/>
        <c:axId val="813098192"/>
      </c:barChart>
      <c:catAx>
        <c:axId val="81309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098192"/>
        <c:crosses val="autoZero"/>
        <c:auto val="1"/>
        <c:lblAlgn val="ctr"/>
        <c:lblOffset val="100"/>
        <c:noMultiLvlLbl val="0"/>
      </c:catAx>
      <c:valAx>
        <c:axId val="81309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09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0</xdr:row>
      <xdr:rowOff>130175</xdr:rowOff>
    </xdr:from>
    <xdr:to>
      <xdr:col>9</xdr:col>
      <xdr:colOff>107950</xdr:colOff>
      <xdr:row>15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F9F055-2A52-C6DB-F638-481245233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165100</xdr:colOff>
      <xdr:row>0</xdr:row>
      <xdr:rowOff>130175</xdr:rowOff>
    </xdr:from>
    <xdr:to>
      <xdr:col>16</xdr:col>
      <xdr:colOff>82550</xdr:colOff>
      <xdr:row>15</xdr:row>
      <xdr:rowOff>111125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3549D4B-72EC-0A50-CCE0-3D38D389E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577850</xdr:colOff>
      <xdr:row>3</xdr:row>
      <xdr:rowOff>44450</xdr:rowOff>
    </xdr:from>
    <xdr:to>
      <xdr:col>19</xdr:col>
      <xdr:colOff>76200</xdr:colOff>
      <xdr:row>5</xdr:row>
      <xdr:rowOff>6350</xdr:rowOff>
    </xdr:to>
    <xdr:sp macro="" textlink="Master!A23">
      <xdr:nvSpPr>
        <xdr:cNvPr id="4" name="Rectangle 3">
          <a:extLst>
            <a:ext uri="{FF2B5EF4-FFF2-40B4-BE49-F238E27FC236}">
              <a16:creationId xmlns:a16="http://schemas.microsoft.com/office/drawing/2014/main" id="{D66F1747-A247-67A7-1766-7DF4AD9FF270}"/>
            </a:ext>
          </a:extLst>
        </xdr:cNvPr>
        <xdr:cNvSpPr/>
      </xdr:nvSpPr>
      <xdr:spPr>
        <a:xfrm>
          <a:off x="10331450" y="596900"/>
          <a:ext cx="1327150" cy="330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B3175D87-6908-4E0E-A904-F5E1C727C29F}" type="TxLink">
            <a:rPr lang="en-US" sz="1600" b="0" i="0" u="none" strike="noStrike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Aptos Narrow"/>
            </a:rPr>
            <a:pPr algn="ctr"/>
            <a:t>24%</a:t>
          </a:fld>
          <a:endParaRPr lang="en-US" sz="1600">
            <a:ln>
              <a:solidFill>
                <a:schemeClr val="bg1"/>
              </a:solidFill>
            </a:ln>
            <a:solidFill>
              <a:schemeClr val="bg1"/>
            </a:solidFill>
          </a:endParaRPr>
        </a:p>
      </xdr:txBody>
    </xdr:sp>
    <xdr:clientData/>
  </xdr:twoCellAnchor>
  <xdr:oneCellAnchor>
    <xdr:from>
      <xdr:col>16</xdr:col>
      <xdr:colOff>457200</xdr:colOff>
      <xdr:row>1</xdr:row>
      <xdr:rowOff>88900</xdr:rowOff>
    </xdr:from>
    <xdr:ext cx="1873250" cy="342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C7166CC-69C7-2716-28A2-22801EEE4FE6}"/>
            </a:ext>
          </a:extLst>
        </xdr:cNvPr>
        <xdr:cNvSpPr txBox="1"/>
      </xdr:nvSpPr>
      <xdr:spPr>
        <a:xfrm>
          <a:off x="10210800" y="273050"/>
          <a:ext cx="1873250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/>
            <a:t>Conversion Rate: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F" refreshedDate="46114.211591782405" backgroundQuery="1" createdVersion="8" refreshedVersion="8" minRefreshableVersion="3" recordCount="48" xr:uid="{C9B7D0D5-1288-4E3F-A951-2A6EEA0CBB0B}">
  <cacheSource type="external" connectionId="5"/>
  <cacheFields count="23">
    <cacheField name="Deal ID" numFmtId="0">
      <sharedItems/>
    </cacheField>
    <cacheField name="Month Tracker" numFmtId="0">
      <sharedItems count="1">
        <s v="Client tracker_Feb2026"/>
      </sharedItems>
    </cacheField>
    <cacheField name="Client Name" numFmtId="0">
      <sharedItems count="26">
        <s v="AbbVie"/>
        <s v="Amgen"/>
        <s v="Astellas"/>
        <s v="AstraZeneca"/>
        <s v="B&amp;L"/>
        <s v="Bausch"/>
        <s v="BI"/>
        <s v="BMS"/>
        <s v="CSL"/>
        <s v="Daiichi"/>
        <s v="Gilead"/>
        <s v="J&amp;J"/>
        <s v="Lilly"/>
        <s v="Merck"/>
        <s v="Merck AH"/>
        <s v="Merck HH"/>
        <s v="Novartis"/>
        <s v="Novo Nordisk"/>
        <s v="Organon"/>
        <s v="Otsuka"/>
        <s v="Pfizer"/>
        <s v="Roche"/>
        <s v="Sanofi"/>
        <s v="Takeda"/>
        <s v="UCB"/>
        <s v="Viatris"/>
      </sharedItems>
    </cacheField>
    <cacheField name="Topic" numFmtId="0">
      <sharedItems/>
    </cacheField>
    <cacheField name="Overall Marketing" numFmtId="0">
      <sharedItems containsBlank="1" count="2">
        <s v="Y"/>
        <m/>
      </sharedItems>
    </cacheField>
    <cacheField name="Performance Marketing" numFmtId="0">
      <sharedItems containsBlank="1" count="2">
        <m/>
        <s v="Y"/>
      </sharedItems>
    </cacheField>
    <cacheField name="DTC" numFmtId="0">
      <sharedItems containsBlank="1" count="2">
        <m/>
        <s v="Y"/>
      </sharedItems>
    </cacheField>
    <cacheField name="Procurement" numFmtId="0">
      <sharedItems containsBlank="1" count="2">
        <m/>
        <s v="Y"/>
      </sharedItems>
    </cacheField>
    <cacheField name="Org/Capabilities" numFmtId="0">
      <sharedItems containsString="0" containsBlank="1" count="1">
        <m/>
      </sharedItems>
    </cacheField>
    <cacheField name="Content" numFmtId="0">
      <sharedItems containsBlank="1" count="2">
        <m/>
        <s v="Y"/>
      </sharedItems>
    </cacheField>
    <cacheField name="AI/GenAI" numFmtId="0">
      <sharedItems containsBlank="1" count="2">
        <m/>
        <s v="Y"/>
      </sharedItems>
    </cacheField>
    <cacheField name="Medical Content" numFmtId="0">
      <sharedItems containsBlank="1" count="2">
        <m/>
        <s v="Y"/>
      </sharedItems>
    </cacheField>
    <cacheField name="Status" numFmtId="0">
      <sharedItems count="4">
        <s v="Discussion"/>
        <s v="Active"/>
        <s v="Proposal"/>
        <s v="Complete"/>
      </sharedItems>
    </cacheField>
    <cacheField name="Domain Lead" numFmtId="0">
      <sharedItems count="23">
        <s v="Sherin, JD"/>
        <s v="JD"/>
        <s v="Sherin"/>
        <s v="Laura P"/>
        <s v="Asli"/>
        <s v="Pepe"/>
        <s v="Umut"/>
        <s v="Tanvi"/>
        <s v="Luca"/>
        <s v="Laura"/>
        <s v="Akshay"/>
        <s v="Luca, Marcel"/>
        <s v="Akshay/Marie"/>
        <s v="Laura, Wolfgang"/>
        <s v="Akshay, Abhi"/>
        <s v="Akshay, Laura"/>
        <s v="Marie, Laura"/>
        <s v="Sherin/Cynthia"/>
        <s v="Asli, Abhi, Cynthia"/>
        <s v="Tanvi, Asli"/>
        <s v="?"/>
        <s v="Askhay, Asli, Cynthia"/>
        <s v="Akash"/>
      </sharedItems>
    </cacheField>
    <cacheField name="CST Contact" numFmtId="0">
      <sharedItems containsBlank="1" count="7">
        <s v="Jennifer"/>
        <m/>
        <s v="Wolfgang"/>
        <s v="Akshay"/>
        <s v="Laura, jenna"/>
        <s v="Cynthia"/>
        <s v="Akash"/>
      </sharedItems>
    </cacheField>
    <cacheField name="Date Added/Updated" numFmtId="0">
      <sharedItems containsNonDate="0" containsDate="1" containsString="0" containsBlank="1" minDate="2025-01-09T00:00:00" maxDate="2026-02-21T00:00:00" count="11">
        <d v="2026-01-09T00:00:00"/>
        <d v="2025-11-03T00:00:00"/>
        <d v="2026-01-30T00:00:00"/>
        <d v="2026-01-29T00:00:00"/>
        <d v="2025-12-31T00:00:00"/>
        <d v="2025-07-02T00:00:00"/>
        <d v="2025-07-07T00:00:00"/>
        <m/>
        <d v="2025-11-30T00:00:00"/>
        <d v="2025-01-09T00:00:00"/>
        <d v="2026-02-20T00:00:00"/>
      </sharedItems>
    </cacheField>
    <cacheField name="Comments" numFmtId="0">
      <sharedItems containsBlank="1" count="26">
        <s v="Rewired highest priority (bring to LC - JD to lead)"/>
        <s v="GEO"/>
        <s v="No follow ups on DTC"/>
        <m/>
        <s v="Current phase until March/April"/>
        <s v="Until end of March"/>
        <s v="Shaping with the client; shift towards a centralized model"/>
        <s v="Confirmed program incl. content + marketeer of the future"/>
        <s v="Will bring full e2e rewired; AI EcliptOS"/>
        <s v="Digital marketing tranformation ongoing"/>
        <s v="Potential cost oppy for Xifaxan"/>
        <s v="Pepe to follow up on content; ongoing RFP on ex-US"/>
        <s v="Sherin to follow up with Nisha and bring best examples"/>
        <s v="Market access piece?"/>
        <s v="Phase-1 gen AI program complete ; no immediate next steps"/>
        <s v="Ongoing conversations with GEO; ongoing convos"/>
        <s v="Reach back out to see what oppys are there - check with Umut / Dan / Meghna to follow up"/>
        <s v="Reach back out on US; Int'l got UK piece on consumer activation strategy + Japan for ecosystem building"/>
        <s v="Media proposal (extension of marketing transformation)"/>
        <s v="Active until end 2/6"/>
        <s v="Workshop prep in progress"/>
        <s v="Go back to Judy and Manuel on JO"/>
        <s v="Close to getting finalized - EU + US scope- CLARIFY with Emma - Asli"/>
        <s v="Consumer activation for vaccines - getting picked up again (know more in a week or so - Alex/Jenna)"/>
        <s v="No immediate; re-org marketing potentially; add content hub on the list; Enterprise AI thread - content AI could pull through there"/>
        <s v="Opportunities to expand on global -local discussion (future content hub) - Global/ US op model"/>
      </sharedItems>
    </cacheField>
    <cacheField name="Data.Column16" numFmtId="0">
      <sharedItems containsString="0" containsBlank="1" count="1">
        <m/>
      </sharedItems>
    </cacheField>
    <cacheField name="Data.Column17" numFmtId="0">
      <sharedItems containsString="0" containsBlank="1" count="1">
        <m/>
      </sharedItems>
    </cacheField>
    <cacheField name="Data.Column18" numFmtId="0">
      <sharedItems containsString="0" containsBlank="1" count="1">
        <m/>
      </sharedItems>
    </cacheField>
    <cacheField name="Data.Column19" numFmtId="0">
      <sharedItems containsString="0" containsBlank="1" count="1">
        <m/>
      </sharedItems>
    </cacheField>
    <cacheField name="Data.Column20" numFmtId="0">
      <sharedItems containsString="0" containsBlank="1" count="1">
        <m/>
      </sharedItems>
    </cacheField>
    <cacheField name="History" numFmtId="0">
      <sharedItems count="2">
        <s v="Carried Over"/>
        <s v="Convert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F" refreshedDate="46114.216619444443" createdVersion="8" refreshedVersion="8" minRefreshableVersion="3" recordCount="3" xr:uid="{0B44ADFD-8808-4FDE-88BB-6AD033889197}">
  <cacheSource type="worksheet">
    <worksheetSource name="Abandoned_Diary_Query"/>
  </cacheSource>
  <cacheFields count="22">
    <cacheField name="Deal ID" numFmtId="0">
      <sharedItems/>
    </cacheField>
    <cacheField name="Month Tracker" numFmtId="0">
      <sharedItems/>
    </cacheField>
    <cacheField name="Client Name" numFmtId="0">
      <sharedItems/>
    </cacheField>
    <cacheField name="Topic" numFmtId="0">
      <sharedItems/>
    </cacheField>
    <cacheField name="Overall Marketing" numFmtId="0">
      <sharedItems containsBlank="1"/>
    </cacheField>
    <cacheField name="Performance Marketing" numFmtId="0">
      <sharedItems containsNonDate="0" containsString="0" containsBlank="1"/>
    </cacheField>
    <cacheField name="DTC" numFmtId="0">
      <sharedItems containsNonDate="0" containsString="0" containsBlank="1"/>
    </cacheField>
    <cacheField name="Procurement" numFmtId="0">
      <sharedItems containsNonDate="0" containsString="0" containsBlank="1"/>
    </cacheField>
    <cacheField name="Org/Capabilities" numFmtId="0">
      <sharedItems containsNonDate="0" containsString="0" containsBlank="1"/>
    </cacheField>
    <cacheField name="Content" numFmtId="0">
      <sharedItems containsNonDate="0" containsString="0" containsBlank="1"/>
    </cacheField>
    <cacheField name="AI/GenAI" numFmtId="0">
      <sharedItems/>
    </cacheField>
    <cacheField name="Medical Content" numFmtId="0">
      <sharedItems containsNonDate="0" containsString="0" containsBlank="1"/>
    </cacheField>
    <cacheField name="Status" numFmtId="0">
      <sharedItems count="1">
        <s v="Discussion"/>
      </sharedItems>
    </cacheField>
    <cacheField name="Domain Lead" numFmtId="0">
      <sharedItems/>
    </cacheField>
    <cacheField name="CST Contact" numFmtId="0">
      <sharedItems containsNonDate="0" containsString="0" containsBlank="1"/>
    </cacheField>
    <cacheField name="Date Added/Updated" numFmtId="0">
      <sharedItems containsSemiMixedTypes="0" containsString="0" containsNumber="1" containsInteger="1" minValue="45840" maxValue="45900"/>
    </cacheField>
    <cacheField name="Comments" numFmtId="0">
      <sharedItems containsBlank="1"/>
    </cacheField>
    <cacheField name="Data.Column16" numFmtId="0">
      <sharedItems containsNonDate="0" containsString="0" containsBlank="1"/>
    </cacheField>
    <cacheField name="Data.Column17" numFmtId="0">
      <sharedItems containsNonDate="0" containsString="0" containsBlank="1"/>
    </cacheField>
    <cacheField name="Data.Column18" numFmtId="0">
      <sharedItems containsNonDate="0" containsString="0" containsBlank="1"/>
    </cacheField>
    <cacheField name="Data.Column19" numFmtId="0">
      <sharedItems containsNonDate="0" containsString="0" containsBlank="1"/>
    </cacheField>
    <cacheField name="Data.Column20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F" refreshedDate="46114.598551504627" createdVersion="8" refreshedVersion="8" minRefreshableVersion="3" recordCount="12" xr:uid="{96CF8826-8686-4A02-B3D9-836B96EFA7BA}">
  <cacheSource type="worksheet">
    <worksheetSource name="Won_Diary_Query"/>
  </cacheSource>
  <cacheFields count="22">
    <cacheField name="Deal ID" numFmtId="0">
      <sharedItems count="12">
        <s v="AbbVie_Agentic affiliates"/>
        <s v="Amgen_Growth/Media"/>
        <s v="Astellas_Brand strategy"/>
        <s v="Astellas_Project NEXUS (commercial ops)"/>
        <s v="AstraZeneca_Commercial transformation"/>
        <s v="B&amp;L_Digital transformation (tech stack)"/>
        <s v="Bausch_Marketing Optimization diagnostic"/>
        <s v="J&amp;J_AI in commercial portfolio"/>
        <s v="Merck AH_GEO"/>
        <s v="Merck HH_Marketing Modernization &amp; Content Acceleration"/>
        <s v="Pfizer_CMO/AI roadmap"/>
        <s v="Viatris_Content op model"/>
      </sharedItems>
    </cacheField>
    <cacheField name="Month Tracker" numFmtId="0">
      <sharedItems/>
    </cacheField>
    <cacheField name="Client Name" numFmtId="0">
      <sharedItems/>
    </cacheField>
    <cacheField name="Topic" numFmtId="0">
      <sharedItems/>
    </cacheField>
    <cacheField name="Overall Marketing" numFmtId="0">
      <sharedItems containsBlank="1"/>
    </cacheField>
    <cacheField name="Performance Marketing" numFmtId="0">
      <sharedItems containsBlank="1"/>
    </cacheField>
    <cacheField name="DTC" numFmtId="0">
      <sharedItems containsNonDate="0" containsString="0" containsBlank="1"/>
    </cacheField>
    <cacheField name="Procurement" numFmtId="0">
      <sharedItems containsNonDate="0" containsString="0" containsBlank="1"/>
    </cacheField>
    <cacheField name="Org/Capabilities" numFmtId="0">
      <sharedItems containsNonDate="0" containsString="0" containsBlank="1"/>
    </cacheField>
    <cacheField name="Content" numFmtId="0">
      <sharedItems containsBlank="1"/>
    </cacheField>
    <cacheField name="AI/GenAI" numFmtId="0">
      <sharedItems containsBlank="1"/>
    </cacheField>
    <cacheField name="Medical Content" numFmtId="0">
      <sharedItems containsNonDate="0" containsString="0" containsBlank="1"/>
    </cacheField>
    <cacheField name="Status" numFmtId="0">
      <sharedItems/>
    </cacheField>
    <cacheField name="Domain Lead" numFmtId="0">
      <sharedItems/>
    </cacheField>
    <cacheField name="CST Contact" numFmtId="0">
      <sharedItems containsBlank="1"/>
    </cacheField>
    <cacheField name="Date Added/Updated" numFmtId="0">
      <sharedItems containsSemiMixedTypes="0" containsString="0" containsNumber="1" containsInteger="1" minValue="45840" maxValue="46051"/>
    </cacheField>
    <cacheField name="Comments" numFmtId="0">
      <sharedItems containsBlank="1"/>
    </cacheField>
    <cacheField name="Data.Column16" numFmtId="0">
      <sharedItems containsNonDate="0" containsString="0" containsBlank="1"/>
    </cacheField>
    <cacheField name="Data.Column17" numFmtId="0">
      <sharedItems containsNonDate="0" containsString="0" containsBlank="1"/>
    </cacheField>
    <cacheField name="Data.Column18" numFmtId="0">
      <sharedItems containsNonDate="0" containsString="0" containsBlank="1"/>
    </cacheField>
    <cacheField name="Data.Column19" numFmtId="0">
      <sharedItems containsNonDate="0" containsString="0" containsBlank="1"/>
    </cacheField>
    <cacheField name="Data.Column20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RF" refreshedDate="46114.628175925929" backgroundQuery="1" createdVersion="8" refreshedVersion="8" minRefreshableVersion="3" recordCount="0" supportSubquery="1" supportAdvancedDrill="1" xr:uid="{56372400-1B7F-43F3-AD7A-C35CCE05E9EC}">
  <cacheSource type="external" connectionId="9"/>
  <cacheFields count="1">
    <cacheField name="[Measures].[Distinct Count of Deal ID]" caption="Distinct Count of Deal ID" numFmtId="0" hierarchy="25" level="32767"/>
  </cacheFields>
  <cacheHierarchies count="26">
    <cacheHierarchy uniqueName="[LS Marketing Tracker xlsx].[Deal ID]" caption="Deal ID" attribute="1" defaultMemberUniqueName="[LS Marketing Tracker xlsx].[Deal ID].[All]" allUniqueName="[LS Marketing Tracker xlsx].[Deal ID].[All]" dimensionUniqueName="[LS Marketing Tracker xlsx]" displayFolder="" count="0" memberValueDatatype="130" unbalanced="0"/>
    <cacheHierarchy uniqueName="[LS Marketing Tracker xlsx].[Month Tracker]" caption="Month Tracker" attribute="1" defaultMemberUniqueName="[LS Marketing Tracker xlsx].[Month Tracker].[All]" allUniqueName="[LS Marketing Tracker xlsx].[Month Tracker].[All]" dimensionUniqueName="[LS Marketing Tracker xlsx]" displayFolder="" count="0" memberValueDatatype="130" unbalanced="0"/>
    <cacheHierarchy uniqueName="[LS Marketing Tracker xlsx].[Client Name]" caption="Client Name" attribute="1" defaultMemberUniqueName="[LS Marketing Tracker xlsx].[Client Name].[All]" allUniqueName="[LS Marketing Tracker xlsx].[Client Name].[All]" dimensionUniqueName="[LS Marketing Tracker xlsx]" displayFolder="" count="0" memberValueDatatype="130" unbalanced="0"/>
    <cacheHierarchy uniqueName="[LS Marketing Tracker xlsx].[Topic]" caption="Topic" attribute="1" defaultMemberUniqueName="[LS Marketing Tracker xlsx].[Topic].[All]" allUniqueName="[LS Marketing Tracker xlsx].[Topic].[All]" dimensionUniqueName="[LS Marketing Tracker xlsx]" displayFolder="" count="0" memberValueDatatype="130" unbalanced="0"/>
    <cacheHierarchy uniqueName="[LS Marketing Tracker xlsx].[Overall Marketing]" caption="Overall Marketing" attribute="1" defaultMemberUniqueName="[LS Marketing Tracker xlsx].[Overall Marketing].[All]" allUniqueName="[LS Marketing Tracker xlsx].[Overall Marketing].[All]" dimensionUniqueName="[LS Marketing Tracker xlsx]" displayFolder="" count="0" memberValueDatatype="130" unbalanced="0"/>
    <cacheHierarchy uniqueName="[LS Marketing Tracker xlsx].[Performance Marketing]" caption="Performance Marketing" attribute="1" defaultMemberUniqueName="[LS Marketing Tracker xlsx].[Performance Marketing].[All]" allUniqueName="[LS Marketing Tracker xlsx].[Performance Marketing].[All]" dimensionUniqueName="[LS Marketing Tracker xlsx]" displayFolder="" count="0" memberValueDatatype="130" unbalanced="0"/>
    <cacheHierarchy uniqueName="[LS Marketing Tracker xlsx].[DTC]" caption="DTC" attribute="1" defaultMemberUniqueName="[LS Marketing Tracker xlsx].[DTC].[All]" allUniqueName="[LS Marketing Tracker xlsx].[DTC].[All]" dimensionUniqueName="[LS Marketing Tracker xlsx]" displayFolder="" count="0" memberValueDatatype="130" unbalanced="0"/>
    <cacheHierarchy uniqueName="[LS Marketing Tracker xlsx].[Procurement]" caption="Procurement" attribute="1" defaultMemberUniqueName="[LS Marketing Tracker xlsx].[Procurement].[All]" allUniqueName="[LS Marketing Tracker xlsx].[Procurement].[All]" dimensionUniqueName="[LS Marketing Tracker xlsx]" displayFolder="" count="0" memberValueDatatype="130" unbalanced="0"/>
    <cacheHierarchy uniqueName="[LS Marketing Tracker xlsx].[Org/Capabilities]" caption="Org/Capabilities" attribute="1" defaultMemberUniqueName="[LS Marketing Tracker xlsx].[Org/Capabilities].[All]" allUniqueName="[LS Marketing Tracker xlsx].[Org/Capabilities].[All]" dimensionUniqueName="[LS Marketing Tracker xlsx]" displayFolder="" count="0" memberValueDatatype="130" unbalanced="0"/>
    <cacheHierarchy uniqueName="[LS Marketing Tracker xlsx].[Content]" caption="Content" attribute="1" defaultMemberUniqueName="[LS Marketing Tracker xlsx].[Content].[All]" allUniqueName="[LS Marketing Tracker xlsx].[Content].[All]" dimensionUniqueName="[LS Marketing Tracker xlsx]" displayFolder="" count="0" memberValueDatatype="130" unbalanced="0"/>
    <cacheHierarchy uniqueName="[LS Marketing Tracker xlsx].[AI/GenAI]" caption="AI/GenAI" attribute="1" defaultMemberUniqueName="[LS Marketing Tracker xlsx].[AI/GenAI].[All]" allUniqueName="[LS Marketing Tracker xlsx].[AI/GenAI].[All]" dimensionUniqueName="[LS Marketing Tracker xlsx]" displayFolder="" count="0" memberValueDatatype="130" unbalanced="0"/>
    <cacheHierarchy uniqueName="[LS Marketing Tracker xlsx].[Medical Content]" caption="Medical Content" attribute="1" defaultMemberUniqueName="[LS Marketing Tracker xlsx].[Medical Content].[All]" allUniqueName="[LS Marketing Tracker xlsx].[Medical Content].[All]" dimensionUniqueName="[LS Marketing Tracker xlsx]" displayFolder="" count="0" memberValueDatatype="130" unbalanced="0"/>
    <cacheHierarchy uniqueName="[LS Marketing Tracker xlsx].[Status]" caption="Status" attribute="1" defaultMemberUniqueName="[LS Marketing Tracker xlsx].[Status].[All]" allUniqueName="[LS Marketing Tracker xlsx].[Status].[All]" dimensionUniqueName="[LS Marketing Tracker xlsx]" displayFolder="" count="0" memberValueDatatype="130" unbalanced="0"/>
    <cacheHierarchy uniqueName="[LS Marketing Tracker xlsx].[Domain Lead]" caption="Domain Lead" attribute="1" defaultMemberUniqueName="[LS Marketing Tracker xlsx].[Domain Lead].[All]" allUniqueName="[LS Marketing Tracker xlsx].[Domain Lead].[All]" dimensionUniqueName="[LS Marketing Tracker xlsx]" displayFolder="" count="0" memberValueDatatype="130" unbalanced="0"/>
    <cacheHierarchy uniqueName="[LS Marketing Tracker xlsx].[CST Contact]" caption="CST Contact" attribute="1" defaultMemberUniqueName="[LS Marketing Tracker xlsx].[CST Contact].[All]" allUniqueName="[LS Marketing Tracker xlsx].[CST Contact].[All]" dimensionUniqueName="[LS Marketing Tracker xlsx]" displayFolder="" count="0" memberValueDatatype="130" unbalanced="0"/>
    <cacheHierarchy uniqueName="[LS Marketing Tracker xlsx].[Date Added/Updated]" caption="Date Added/Updated" attribute="1" time="1" defaultMemberUniqueName="[LS Marketing Tracker xlsx].[Date Added/Updated].[All]" allUniqueName="[LS Marketing Tracker xlsx].[Date Added/Updated].[All]" dimensionUniqueName="[LS Marketing Tracker xlsx]" displayFolder="" count="0" memberValueDatatype="7" unbalanced="0"/>
    <cacheHierarchy uniqueName="[LS Marketing Tracker xlsx].[Comments]" caption="Comments" attribute="1" defaultMemberUniqueName="[LS Marketing Tracker xlsx].[Comments].[All]" allUniqueName="[LS Marketing Tracker xlsx].[Comments].[All]" dimensionUniqueName="[LS Marketing Tracker xlsx]" displayFolder="" count="0" memberValueDatatype="130" unbalanced="0"/>
    <cacheHierarchy uniqueName="[LS Marketing Tracker xlsx].[Data.Column16]" caption="Data.Column16" attribute="1" defaultMemberUniqueName="[LS Marketing Tracker xlsx].[Data.Column16].[All]" allUniqueName="[LS Marketing Tracker xlsx].[Data.Column16].[All]" dimensionUniqueName="[LS Marketing Tracker xlsx]" displayFolder="" count="0" memberValueDatatype="130" unbalanced="0"/>
    <cacheHierarchy uniqueName="[LS Marketing Tracker xlsx].[Data.Column17]" caption="Data.Column17" attribute="1" defaultMemberUniqueName="[LS Marketing Tracker xlsx].[Data.Column17].[All]" allUniqueName="[LS Marketing Tracker xlsx].[Data.Column17].[All]" dimensionUniqueName="[LS Marketing Tracker xlsx]" displayFolder="" count="0" memberValueDatatype="130" unbalanced="0"/>
    <cacheHierarchy uniqueName="[LS Marketing Tracker xlsx].[Data.Column18]" caption="Data.Column18" attribute="1" defaultMemberUniqueName="[LS Marketing Tracker xlsx].[Data.Column18].[All]" allUniqueName="[LS Marketing Tracker xlsx].[Data.Column18].[All]" dimensionUniqueName="[LS Marketing Tracker xlsx]" displayFolder="" count="0" memberValueDatatype="130" unbalanced="0"/>
    <cacheHierarchy uniqueName="[LS Marketing Tracker xlsx].[Data.Column19]" caption="Data.Column19" attribute="1" defaultMemberUniqueName="[LS Marketing Tracker xlsx].[Data.Column19].[All]" allUniqueName="[LS Marketing Tracker xlsx].[Data.Column19].[All]" dimensionUniqueName="[LS Marketing Tracker xlsx]" displayFolder="" count="0" memberValueDatatype="130" unbalanced="0"/>
    <cacheHierarchy uniqueName="[LS Marketing Tracker xlsx].[Data.Column20]" caption="Data.Column20" attribute="1" defaultMemberUniqueName="[LS Marketing Tracker xlsx].[Data.Column20].[All]" allUniqueName="[LS Marketing Tracker xlsx].[Data.Column20].[All]" dimensionUniqueName="[LS Marketing Tracker xlsx]" displayFolder="" count="0" memberValueDatatype="130" unbalanced="0"/>
    <cacheHierarchy uniqueName="[Measures].[__XL_Count LS Marketing Tracker xlsx]" caption="__XL_Count LS Marketing Tracker xlsx" measure="1" displayFolder="" measureGroup="LS Marketing Tracker xlsx" count="0" hidden="1"/>
    <cacheHierarchy uniqueName="[Measures].[__No measures defined]" caption="__No measures defined" measure="1" displayFolder="" count="0" hidden="1"/>
    <cacheHierarchy uniqueName="[Measures].[Count of Deal ID]" caption="Count of Deal ID" measure="1" displayFolder="" measureGroup="LS Marketing Tracker xlsx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Deal ID]" caption="Distinct Count of Deal ID" measure="1" displayFolder="" measureGroup="LS Marketing Tracker xlsx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LS Marketing Tracker xlsx" uniqueName="[LS Marketing Tracker xlsx]" caption="LS Marketing Tracker xlsx"/>
    <dimension measure="1" name="Measures" uniqueName="[Measures]" caption="Measures"/>
  </dimensions>
  <measureGroups count="1">
    <measureGroup name="LS Marketing Tracker xlsx" caption="LS Marketing Tracker xlsx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AbbVie_End to end transformation (Mktg + commercial)"/>
    <x v="0"/>
    <x v="0"/>
    <s v="End to end transformation (Mktg + commercial)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AbbVie_DTC re-allocation"/>
    <x v="0"/>
    <x v="0"/>
    <s v="DTC re-allocation"/>
    <x v="1"/>
    <x v="0"/>
    <x v="1"/>
    <x v="0"/>
    <x v="0"/>
    <x v="0"/>
    <x v="0"/>
    <x v="0"/>
    <x v="0"/>
    <x v="1"/>
    <x v="1"/>
    <x v="0"/>
    <x v="1"/>
    <x v="0"/>
    <x v="0"/>
    <x v="0"/>
    <x v="0"/>
    <x v="0"/>
    <x v="0"/>
  </r>
  <r>
    <s v="AbbVie_Agentic affiliates"/>
    <x v="0"/>
    <x v="0"/>
    <s v="Agentic affiliates"/>
    <x v="0"/>
    <x v="0"/>
    <x v="0"/>
    <x v="0"/>
    <x v="0"/>
    <x v="0"/>
    <x v="1"/>
    <x v="0"/>
    <x v="1"/>
    <x v="1"/>
    <x v="2"/>
    <x v="1"/>
    <x v="2"/>
    <x v="0"/>
    <x v="0"/>
    <x v="0"/>
    <x v="0"/>
    <x v="0"/>
    <x v="0"/>
  </r>
  <r>
    <s v="Amgen_Growth/Media"/>
    <x v="0"/>
    <x v="1"/>
    <s v="Growth/Media"/>
    <x v="0"/>
    <x v="1"/>
    <x v="0"/>
    <x v="0"/>
    <x v="0"/>
    <x v="0"/>
    <x v="0"/>
    <x v="0"/>
    <x v="1"/>
    <x v="2"/>
    <x v="3"/>
    <x v="0"/>
    <x v="3"/>
    <x v="0"/>
    <x v="0"/>
    <x v="0"/>
    <x v="0"/>
    <x v="0"/>
    <x v="0"/>
  </r>
  <r>
    <s v="Amgen_Repatha re-imagine"/>
    <x v="0"/>
    <x v="1"/>
    <s v="Repatha re-imagine"/>
    <x v="0"/>
    <x v="0"/>
    <x v="0"/>
    <x v="0"/>
    <x v="0"/>
    <x v="0"/>
    <x v="0"/>
    <x v="0"/>
    <x v="2"/>
    <x v="2"/>
    <x v="1"/>
    <x v="2"/>
    <x v="3"/>
    <x v="0"/>
    <x v="0"/>
    <x v="0"/>
    <x v="0"/>
    <x v="0"/>
    <x v="0"/>
  </r>
  <r>
    <s v="Astellas_Brand strategy"/>
    <x v="0"/>
    <x v="2"/>
    <s v="Brand strategy"/>
    <x v="0"/>
    <x v="1"/>
    <x v="0"/>
    <x v="0"/>
    <x v="0"/>
    <x v="1"/>
    <x v="0"/>
    <x v="0"/>
    <x v="1"/>
    <x v="3"/>
    <x v="1"/>
    <x v="0"/>
    <x v="4"/>
    <x v="0"/>
    <x v="0"/>
    <x v="0"/>
    <x v="0"/>
    <x v="0"/>
    <x v="0"/>
  </r>
  <r>
    <s v="Astellas_Project NEXUS (commercial ops)"/>
    <x v="0"/>
    <x v="2"/>
    <s v="Project NEXUS (commercial ops)"/>
    <x v="0"/>
    <x v="0"/>
    <x v="0"/>
    <x v="0"/>
    <x v="0"/>
    <x v="0"/>
    <x v="0"/>
    <x v="0"/>
    <x v="1"/>
    <x v="3"/>
    <x v="1"/>
    <x v="0"/>
    <x v="5"/>
    <x v="0"/>
    <x v="0"/>
    <x v="0"/>
    <x v="0"/>
    <x v="0"/>
    <x v="0"/>
  </r>
  <r>
    <s v="Astellas_Content models"/>
    <x v="0"/>
    <x v="2"/>
    <s v="Content models"/>
    <x v="1"/>
    <x v="0"/>
    <x v="0"/>
    <x v="0"/>
    <x v="0"/>
    <x v="1"/>
    <x v="0"/>
    <x v="0"/>
    <x v="0"/>
    <x v="3"/>
    <x v="1"/>
    <x v="3"/>
    <x v="6"/>
    <x v="0"/>
    <x v="0"/>
    <x v="0"/>
    <x v="0"/>
    <x v="0"/>
    <x v="0"/>
  </r>
  <r>
    <s v="AstraZeneca_Commercial transformation"/>
    <x v="0"/>
    <x v="3"/>
    <s v="Commercial transformation"/>
    <x v="0"/>
    <x v="0"/>
    <x v="0"/>
    <x v="0"/>
    <x v="0"/>
    <x v="1"/>
    <x v="1"/>
    <x v="0"/>
    <x v="1"/>
    <x v="4"/>
    <x v="1"/>
    <x v="0"/>
    <x v="7"/>
    <x v="0"/>
    <x v="0"/>
    <x v="0"/>
    <x v="0"/>
    <x v="0"/>
    <x v="0"/>
  </r>
  <r>
    <s v="B&amp;L_Re-wired"/>
    <x v="0"/>
    <x v="4"/>
    <s v="Re-wired"/>
    <x v="0"/>
    <x v="0"/>
    <x v="0"/>
    <x v="0"/>
    <x v="0"/>
    <x v="0"/>
    <x v="0"/>
    <x v="0"/>
    <x v="0"/>
    <x v="5"/>
    <x v="1"/>
    <x v="0"/>
    <x v="8"/>
    <x v="0"/>
    <x v="0"/>
    <x v="0"/>
    <x v="0"/>
    <x v="0"/>
    <x v="0"/>
  </r>
  <r>
    <s v="B&amp;L_Digital transformation (tech stack)"/>
    <x v="0"/>
    <x v="4"/>
    <s v="Digital transformation (tech stack)"/>
    <x v="1"/>
    <x v="0"/>
    <x v="0"/>
    <x v="0"/>
    <x v="0"/>
    <x v="0"/>
    <x v="1"/>
    <x v="0"/>
    <x v="1"/>
    <x v="5"/>
    <x v="1"/>
    <x v="0"/>
    <x v="9"/>
    <x v="0"/>
    <x v="0"/>
    <x v="0"/>
    <x v="0"/>
    <x v="0"/>
    <x v="0"/>
  </r>
  <r>
    <s v="Bausch_Marketing Optimization diagnostic"/>
    <x v="0"/>
    <x v="5"/>
    <s v="Marketing Optimization diagnostic"/>
    <x v="0"/>
    <x v="0"/>
    <x v="0"/>
    <x v="0"/>
    <x v="0"/>
    <x v="0"/>
    <x v="0"/>
    <x v="0"/>
    <x v="1"/>
    <x v="5"/>
    <x v="1"/>
    <x v="0"/>
    <x v="10"/>
    <x v="0"/>
    <x v="0"/>
    <x v="0"/>
    <x v="0"/>
    <x v="0"/>
    <x v="0"/>
  </r>
  <r>
    <s v="BI_AI content generation"/>
    <x v="0"/>
    <x v="6"/>
    <s v="AI content generation"/>
    <x v="1"/>
    <x v="0"/>
    <x v="0"/>
    <x v="0"/>
    <x v="0"/>
    <x v="1"/>
    <x v="0"/>
    <x v="0"/>
    <x v="0"/>
    <x v="5"/>
    <x v="1"/>
    <x v="0"/>
    <x v="11"/>
    <x v="0"/>
    <x v="0"/>
    <x v="0"/>
    <x v="0"/>
    <x v="0"/>
    <x v="0"/>
  </r>
  <r>
    <s v="BMS_Marketing co-pilot"/>
    <x v="0"/>
    <x v="7"/>
    <s v="Marketing co-pilot"/>
    <x v="1"/>
    <x v="0"/>
    <x v="0"/>
    <x v="0"/>
    <x v="0"/>
    <x v="0"/>
    <x v="1"/>
    <x v="0"/>
    <x v="0"/>
    <x v="6"/>
    <x v="1"/>
    <x v="0"/>
    <x v="12"/>
    <x v="0"/>
    <x v="0"/>
    <x v="0"/>
    <x v="0"/>
    <x v="0"/>
    <x v="0"/>
  </r>
  <r>
    <s v="CSL_HCP digital marketing"/>
    <x v="0"/>
    <x v="8"/>
    <s v="HCP digital marketing"/>
    <x v="1"/>
    <x v="1"/>
    <x v="0"/>
    <x v="0"/>
    <x v="0"/>
    <x v="0"/>
    <x v="0"/>
    <x v="0"/>
    <x v="0"/>
    <x v="7"/>
    <x v="1"/>
    <x v="0"/>
    <x v="13"/>
    <x v="0"/>
    <x v="0"/>
    <x v="0"/>
    <x v="0"/>
    <x v="0"/>
    <x v="0"/>
  </r>
  <r>
    <s v="Daiichi_Content Generation"/>
    <x v="0"/>
    <x v="9"/>
    <s v="Content Generation"/>
    <x v="1"/>
    <x v="0"/>
    <x v="0"/>
    <x v="0"/>
    <x v="0"/>
    <x v="1"/>
    <x v="1"/>
    <x v="1"/>
    <x v="3"/>
    <x v="8"/>
    <x v="1"/>
    <x v="4"/>
    <x v="14"/>
    <x v="0"/>
    <x v="0"/>
    <x v="0"/>
    <x v="0"/>
    <x v="0"/>
    <x v="1"/>
  </r>
  <r>
    <s v="Gilead_CIO conversations"/>
    <x v="0"/>
    <x v="10"/>
    <s v="CIO conversations"/>
    <x v="0"/>
    <x v="0"/>
    <x v="0"/>
    <x v="0"/>
    <x v="0"/>
    <x v="1"/>
    <x v="1"/>
    <x v="0"/>
    <x v="0"/>
    <x v="1"/>
    <x v="1"/>
    <x v="0"/>
    <x v="15"/>
    <x v="0"/>
    <x v="0"/>
    <x v="0"/>
    <x v="0"/>
    <x v="0"/>
    <x v="0"/>
  </r>
  <r>
    <s v="J&amp;J_Medical Compelling Content"/>
    <x v="0"/>
    <x v="11"/>
    <s v="Medical Compelling Content"/>
    <x v="1"/>
    <x v="0"/>
    <x v="0"/>
    <x v="0"/>
    <x v="0"/>
    <x v="0"/>
    <x v="0"/>
    <x v="1"/>
    <x v="0"/>
    <x v="9"/>
    <x v="1"/>
    <x v="0"/>
    <x v="16"/>
    <x v="0"/>
    <x v="0"/>
    <x v="0"/>
    <x v="0"/>
    <x v="0"/>
    <x v="0"/>
  </r>
  <r>
    <s v="J&amp;J_MLR automation"/>
    <x v="0"/>
    <x v="11"/>
    <s v="MLR automation"/>
    <x v="1"/>
    <x v="0"/>
    <x v="0"/>
    <x v="0"/>
    <x v="0"/>
    <x v="0"/>
    <x v="1"/>
    <x v="0"/>
    <x v="0"/>
    <x v="10"/>
    <x v="1"/>
    <x v="5"/>
    <x v="3"/>
    <x v="0"/>
    <x v="0"/>
    <x v="0"/>
    <x v="0"/>
    <x v="0"/>
    <x v="0"/>
  </r>
  <r>
    <s v="J&amp;J_Marketing content creation EMEA"/>
    <x v="0"/>
    <x v="11"/>
    <s v="Marketing content creation EMEA"/>
    <x v="0"/>
    <x v="0"/>
    <x v="0"/>
    <x v="0"/>
    <x v="0"/>
    <x v="0"/>
    <x v="1"/>
    <x v="0"/>
    <x v="0"/>
    <x v="11"/>
    <x v="1"/>
    <x v="6"/>
    <x v="3"/>
    <x v="0"/>
    <x v="0"/>
    <x v="0"/>
    <x v="0"/>
    <x v="0"/>
    <x v="0"/>
  </r>
  <r>
    <s v="J&amp;J_AI in commercial portfolio"/>
    <x v="0"/>
    <x v="11"/>
    <s v="AI in commercial portfolio"/>
    <x v="0"/>
    <x v="0"/>
    <x v="0"/>
    <x v="0"/>
    <x v="0"/>
    <x v="0"/>
    <x v="1"/>
    <x v="0"/>
    <x v="1"/>
    <x v="6"/>
    <x v="1"/>
    <x v="1"/>
    <x v="3"/>
    <x v="0"/>
    <x v="0"/>
    <x v="0"/>
    <x v="0"/>
    <x v="0"/>
    <x v="0"/>
  </r>
  <r>
    <s v="Lilly_CRM"/>
    <x v="0"/>
    <x v="12"/>
    <s v="CRM"/>
    <x v="1"/>
    <x v="0"/>
    <x v="0"/>
    <x v="0"/>
    <x v="0"/>
    <x v="0"/>
    <x v="1"/>
    <x v="0"/>
    <x v="0"/>
    <x v="12"/>
    <x v="1"/>
    <x v="0"/>
    <x v="17"/>
    <x v="0"/>
    <x v="0"/>
    <x v="0"/>
    <x v="0"/>
    <x v="0"/>
    <x v="0"/>
  </r>
  <r>
    <s v="Merck_Medical Content Training"/>
    <x v="0"/>
    <x v="13"/>
    <s v="Medical Content Training"/>
    <x v="1"/>
    <x v="0"/>
    <x v="0"/>
    <x v="0"/>
    <x v="0"/>
    <x v="0"/>
    <x v="1"/>
    <x v="1"/>
    <x v="0"/>
    <x v="9"/>
    <x v="1"/>
    <x v="3"/>
    <x v="3"/>
    <x v="0"/>
    <x v="0"/>
    <x v="0"/>
    <x v="0"/>
    <x v="0"/>
    <x v="0"/>
  </r>
  <r>
    <s v="Merck_Media spend optimization"/>
    <x v="0"/>
    <x v="13"/>
    <s v="Media spend optimization"/>
    <x v="1"/>
    <x v="1"/>
    <x v="0"/>
    <x v="0"/>
    <x v="0"/>
    <x v="0"/>
    <x v="1"/>
    <x v="0"/>
    <x v="2"/>
    <x v="4"/>
    <x v="1"/>
    <x v="0"/>
    <x v="18"/>
    <x v="0"/>
    <x v="0"/>
    <x v="0"/>
    <x v="0"/>
    <x v="0"/>
    <x v="0"/>
  </r>
  <r>
    <s v="Merck AH_GEO"/>
    <x v="0"/>
    <x v="14"/>
    <s v="GEO"/>
    <x v="1"/>
    <x v="0"/>
    <x v="0"/>
    <x v="0"/>
    <x v="0"/>
    <x v="0"/>
    <x v="0"/>
    <x v="0"/>
    <x v="1"/>
    <x v="13"/>
    <x v="1"/>
    <x v="3"/>
    <x v="19"/>
    <x v="0"/>
    <x v="0"/>
    <x v="0"/>
    <x v="0"/>
    <x v="0"/>
    <x v="0"/>
  </r>
  <r>
    <s v="Merck HH_Marketing Modernization &amp; Content Acceleration"/>
    <x v="0"/>
    <x v="15"/>
    <s v="Marketing Modernization &amp; Content Acceleration"/>
    <x v="0"/>
    <x v="0"/>
    <x v="0"/>
    <x v="0"/>
    <x v="0"/>
    <x v="1"/>
    <x v="0"/>
    <x v="0"/>
    <x v="1"/>
    <x v="4"/>
    <x v="1"/>
    <x v="5"/>
    <x v="3"/>
    <x v="0"/>
    <x v="0"/>
    <x v="0"/>
    <x v="0"/>
    <x v="0"/>
    <x v="0"/>
  </r>
  <r>
    <s v="Merck HH_Content AgentVerse platform"/>
    <x v="0"/>
    <x v="15"/>
    <s v="Content AgentVerse platform"/>
    <x v="1"/>
    <x v="0"/>
    <x v="0"/>
    <x v="0"/>
    <x v="0"/>
    <x v="1"/>
    <x v="1"/>
    <x v="0"/>
    <x v="0"/>
    <x v="14"/>
    <x v="1"/>
    <x v="5"/>
    <x v="3"/>
    <x v="0"/>
    <x v="0"/>
    <x v="0"/>
    <x v="0"/>
    <x v="0"/>
    <x v="0"/>
  </r>
  <r>
    <s v="Merck HH_Media innovation and op model"/>
    <x v="0"/>
    <x v="15"/>
    <s v="Media innovation and op model"/>
    <x v="1"/>
    <x v="0"/>
    <x v="0"/>
    <x v="0"/>
    <x v="0"/>
    <x v="0"/>
    <x v="0"/>
    <x v="0"/>
    <x v="0"/>
    <x v="4"/>
    <x v="1"/>
    <x v="7"/>
    <x v="3"/>
    <x v="0"/>
    <x v="0"/>
    <x v="0"/>
    <x v="0"/>
    <x v="0"/>
    <x v="0"/>
  </r>
  <r>
    <s v="Merck HH_Medical: Co-pilot"/>
    <x v="0"/>
    <x v="15"/>
    <s v="Medical: Co-pilot"/>
    <x v="1"/>
    <x v="0"/>
    <x v="0"/>
    <x v="0"/>
    <x v="0"/>
    <x v="1"/>
    <x v="0"/>
    <x v="0"/>
    <x v="2"/>
    <x v="15"/>
    <x v="1"/>
    <x v="3"/>
    <x v="3"/>
    <x v="0"/>
    <x v="0"/>
    <x v="0"/>
    <x v="0"/>
    <x v="0"/>
    <x v="0"/>
  </r>
  <r>
    <s v="Merck HH_Medical: GEO and capability building"/>
    <x v="0"/>
    <x v="15"/>
    <s v="Medical: GEO and capability building"/>
    <x v="1"/>
    <x v="0"/>
    <x v="0"/>
    <x v="0"/>
    <x v="0"/>
    <x v="0"/>
    <x v="1"/>
    <x v="0"/>
    <x v="2"/>
    <x v="9"/>
    <x v="1"/>
    <x v="2"/>
    <x v="3"/>
    <x v="0"/>
    <x v="0"/>
    <x v="0"/>
    <x v="0"/>
    <x v="0"/>
    <x v="0"/>
  </r>
  <r>
    <s v="Novartis_Content Operations (International)"/>
    <x v="0"/>
    <x v="16"/>
    <s v="Content Operations (International)"/>
    <x v="1"/>
    <x v="0"/>
    <x v="0"/>
    <x v="0"/>
    <x v="0"/>
    <x v="0"/>
    <x v="0"/>
    <x v="0"/>
    <x v="2"/>
    <x v="16"/>
    <x v="1"/>
    <x v="3"/>
    <x v="3"/>
    <x v="0"/>
    <x v="0"/>
    <x v="0"/>
    <x v="0"/>
    <x v="0"/>
    <x v="0"/>
  </r>
  <r>
    <s v="Novo Nordisk_Enhancing marketing capabilities"/>
    <x v="0"/>
    <x v="17"/>
    <s v="Enhancing marketing capabilities"/>
    <x v="0"/>
    <x v="0"/>
    <x v="1"/>
    <x v="0"/>
    <x v="0"/>
    <x v="0"/>
    <x v="0"/>
    <x v="0"/>
    <x v="0"/>
    <x v="17"/>
    <x v="1"/>
    <x v="3"/>
    <x v="20"/>
    <x v="0"/>
    <x v="0"/>
    <x v="0"/>
    <x v="0"/>
    <x v="0"/>
    <x v="0"/>
  </r>
  <r>
    <s v="Organon_Brand/DTC driven growth"/>
    <x v="0"/>
    <x v="18"/>
    <s v="Brand/DTC driven growth"/>
    <x v="1"/>
    <x v="0"/>
    <x v="1"/>
    <x v="0"/>
    <x v="0"/>
    <x v="0"/>
    <x v="0"/>
    <x v="0"/>
    <x v="3"/>
    <x v="18"/>
    <x v="1"/>
    <x v="4"/>
    <x v="3"/>
    <x v="0"/>
    <x v="0"/>
    <x v="0"/>
    <x v="0"/>
    <x v="0"/>
    <x v="0"/>
  </r>
  <r>
    <s v="Otsuka_Agency optimization (as part of broader transformation)"/>
    <x v="0"/>
    <x v="19"/>
    <s v="Agency optimization (as part of broader transformation)"/>
    <x v="1"/>
    <x v="0"/>
    <x v="0"/>
    <x v="1"/>
    <x v="0"/>
    <x v="0"/>
    <x v="0"/>
    <x v="0"/>
    <x v="0"/>
    <x v="14"/>
    <x v="1"/>
    <x v="5"/>
    <x v="3"/>
    <x v="0"/>
    <x v="0"/>
    <x v="0"/>
    <x v="0"/>
    <x v="0"/>
    <x v="0"/>
  </r>
  <r>
    <s v="Pfizer_CMO/AI roadmap"/>
    <x v="0"/>
    <x v="20"/>
    <s v="CMO/AI roadmap"/>
    <x v="1"/>
    <x v="0"/>
    <x v="0"/>
    <x v="0"/>
    <x v="0"/>
    <x v="0"/>
    <x v="1"/>
    <x v="0"/>
    <x v="1"/>
    <x v="14"/>
    <x v="1"/>
    <x v="5"/>
    <x v="21"/>
    <x v="0"/>
    <x v="0"/>
    <x v="0"/>
    <x v="0"/>
    <x v="0"/>
    <x v="0"/>
  </r>
  <r>
    <s v="Pfizer_Scaling and adoption of Content platform (international)"/>
    <x v="0"/>
    <x v="20"/>
    <s v="Scaling and adoption of Content platform (international)"/>
    <x v="1"/>
    <x v="0"/>
    <x v="0"/>
    <x v="0"/>
    <x v="0"/>
    <x v="1"/>
    <x v="0"/>
    <x v="0"/>
    <x v="3"/>
    <x v="19"/>
    <x v="1"/>
    <x v="8"/>
    <x v="3"/>
    <x v="0"/>
    <x v="0"/>
    <x v="0"/>
    <x v="0"/>
    <x v="0"/>
    <x v="0"/>
  </r>
  <r>
    <s v="Pfizer_Vaccines"/>
    <x v="0"/>
    <x v="20"/>
    <s v="Vaccines"/>
    <x v="0"/>
    <x v="0"/>
    <x v="0"/>
    <x v="0"/>
    <x v="0"/>
    <x v="0"/>
    <x v="0"/>
    <x v="1"/>
    <x v="0"/>
    <x v="20"/>
    <x v="1"/>
    <x v="9"/>
    <x v="22"/>
    <x v="0"/>
    <x v="0"/>
    <x v="0"/>
    <x v="0"/>
    <x v="0"/>
    <x v="0"/>
  </r>
  <r>
    <s v="Roche_Rewired marketing"/>
    <x v="0"/>
    <x v="21"/>
    <s v="Rewired marketing"/>
    <x v="0"/>
    <x v="0"/>
    <x v="0"/>
    <x v="0"/>
    <x v="0"/>
    <x v="0"/>
    <x v="0"/>
    <x v="0"/>
    <x v="2"/>
    <x v="9"/>
    <x v="1"/>
    <x v="2"/>
    <x v="3"/>
    <x v="0"/>
    <x v="0"/>
    <x v="0"/>
    <x v="0"/>
    <x v="0"/>
    <x v="0"/>
  </r>
  <r>
    <s v="Sanofi_DTC - Audience activation for specialty care (analytics) and vaccines consumer activation"/>
    <x v="0"/>
    <x v="22"/>
    <s v="DTC - Audience activation for specialty care (analytics) and vaccines consumer activation"/>
    <x v="1"/>
    <x v="0"/>
    <x v="1"/>
    <x v="0"/>
    <x v="0"/>
    <x v="0"/>
    <x v="0"/>
    <x v="0"/>
    <x v="0"/>
    <x v="9"/>
    <x v="4"/>
    <x v="9"/>
    <x v="23"/>
    <x v="0"/>
    <x v="0"/>
    <x v="0"/>
    <x v="0"/>
    <x v="0"/>
    <x v="0"/>
  </r>
  <r>
    <s v="Takeda_Content hub"/>
    <x v="0"/>
    <x v="23"/>
    <s v="Content hub"/>
    <x v="1"/>
    <x v="0"/>
    <x v="0"/>
    <x v="0"/>
    <x v="0"/>
    <x v="1"/>
    <x v="0"/>
    <x v="0"/>
    <x v="0"/>
    <x v="4"/>
    <x v="1"/>
    <x v="9"/>
    <x v="24"/>
    <x v="0"/>
    <x v="0"/>
    <x v="0"/>
    <x v="0"/>
    <x v="0"/>
    <x v="0"/>
  </r>
  <r>
    <s v="UCB_Physician engagement and sales co-pilot"/>
    <x v="0"/>
    <x v="24"/>
    <s v="Physician engagement and sales co-pilot"/>
    <x v="1"/>
    <x v="0"/>
    <x v="0"/>
    <x v="0"/>
    <x v="0"/>
    <x v="0"/>
    <x v="1"/>
    <x v="0"/>
    <x v="0"/>
    <x v="10"/>
    <x v="1"/>
    <x v="5"/>
    <x v="3"/>
    <x v="0"/>
    <x v="0"/>
    <x v="0"/>
    <x v="0"/>
    <x v="0"/>
    <x v="0"/>
  </r>
  <r>
    <s v="UCB_Re-wiring"/>
    <x v="0"/>
    <x v="24"/>
    <s v="Re-wiring"/>
    <x v="1"/>
    <x v="0"/>
    <x v="0"/>
    <x v="0"/>
    <x v="0"/>
    <x v="0"/>
    <x v="0"/>
    <x v="0"/>
    <x v="0"/>
    <x v="10"/>
    <x v="1"/>
    <x v="5"/>
    <x v="3"/>
    <x v="0"/>
    <x v="0"/>
    <x v="0"/>
    <x v="0"/>
    <x v="0"/>
    <x v="0"/>
  </r>
  <r>
    <s v="UCB_DTC scenario planning"/>
    <x v="0"/>
    <x v="24"/>
    <s v="DTC scenario planning"/>
    <x v="1"/>
    <x v="0"/>
    <x v="0"/>
    <x v="0"/>
    <x v="0"/>
    <x v="0"/>
    <x v="0"/>
    <x v="0"/>
    <x v="0"/>
    <x v="21"/>
    <x v="1"/>
    <x v="7"/>
    <x v="3"/>
    <x v="0"/>
    <x v="0"/>
    <x v="0"/>
    <x v="0"/>
    <x v="0"/>
    <x v="0"/>
  </r>
  <r>
    <s v="UCB_AI content/MLR"/>
    <x v="0"/>
    <x v="24"/>
    <s v="AI content/MLR"/>
    <x v="1"/>
    <x v="0"/>
    <x v="0"/>
    <x v="0"/>
    <x v="0"/>
    <x v="1"/>
    <x v="1"/>
    <x v="0"/>
    <x v="3"/>
    <x v="14"/>
    <x v="1"/>
    <x v="4"/>
    <x v="25"/>
    <x v="0"/>
    <x v="0"/>
    <x v="0"/>
    <x v="0"/>
    <x v="0"/>
    <x v="0"/>
  </r>
  <r>
    <s v="Novo Nordisk_RfP: MROI"/>
    <x v="0"/>
    <x v="17"/>
    <s v="RfP: MROI"/>
    <x v="0"/>
    <x v="0"/>
    <x v="0"/>
    <x v="0"/>
    <x v="0"/>
    <x v="1"/>
    <x v="1"/>
    <x v="0"/>
    <x v="2"/>
    <x v="17"/>
    <x v="5"/>
    <x v="2"/>
    <x v="3"/>
    <x v="0"/>
    <x v="0"/>
    <x v="0"/>
    <x v="0"/>
    <x v="0"/>
    <x v="0"/>
  </r>
  <r>
    <s v="Viatris_Content op model"/>
    <x v="0"/>
    <x v="25"/>
    <s v="Content op model"/>
    <x v="1"/>
    <x v="0"/>
    <x v="0"/>
    <x v="0"/>
    <x v="0"/>
    <x v="1"/>
    <x v="0"/>
    <x v="0"/>
    <x v="1"/>
    <x v="22"/>
    <x v="1"/>
    <x v="8"/>
    <x v="3"/>
    <x v="0"/>
    <x v="0"/>
    <x v="0"/>
    <x v="0"/>
    <x v="0"/>
    <x v="0"/>
  </r>
  <r>
    <s v="Viatris_Content implementation"/>
    <x v="0"/>
    <x v="25"/>
    <s v="Content implementation"/>
    <x v="1"/>
    <x v="0"/>
    <x v="0"/>
    <x v="0"/>
    <x v="0"/>
    <x v="1"/>
    <x v="0"/>
    <x v="0"/>
    <x v="2"/>
    <x v="2"/>
    <x v="6"/>
    <x v="2"/>
    <x v="3"/>
    <x v="0"/>
    <x v="0"/>
    <x v="0"/>
    <x v="0"/>
    <x v="0"/>
    <x v="0"/>
  </r>
  <r>
    <s v="Novo Nordisk_Marketing cost benchmark (+ broad indirect spend benchmark)"/>
    <x v="0"/>
    <x v="17"/>
    <s v="Marketing cost benchmark (+ broad indirect spend benchmark)"/>
    <x v="1"/>
    <x v="0"/>
    <x v="0"/>
    <x v="1"/>
    <x v="0"/>
    <x v="0"/>
    <x v="0"/>
    <x v="0"/>
    <x v="3"/>
    <x v="17"/>
    <x v="5"/>
    <x v="10"/>
    <x v="3"/>
    <x v="0"/>
    <x v="0"/>
    <x v="0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GSK_Commercial AI strategy"/>
    <s v="Client tracker_Jan2026"/>
    <s v="GSK"/>
    <s v="Commercial AI strategy"/>
    <s v="Y"/>
    <m/>
    <m/>
    <m/>
    <m/>
    <m/>
    <s v="Y"/>
    <m/>
    <x v="0"/>
    <s v="Wolfgang"/>
    <m/>
    <n v="45900"/>
    <s v="Follow up with Wolfgang - follow up with Jeff"/>
    <m/>
    <m/>
    <m/>
    <m/>
    <m/>
  </r>
  <r>
    <s v="Viatris_GenAI content generation"/>
    <s v="Client tracker_Jan2026"/>
    <s v="Viatris"/>
    <s v="GenAI content generation"/>
    <m/>
    <m/>
    <m/>
    <m/>
    <m/>
    <m/>
    <s v="Y"/>
    <m/>
    <x v="0"/>
    <s v="Luca, Imran"/>
    <m/>
    <n v="45840"/>
    <s v="didn't go through"/>
    <m/>
    <m/>
    <m/>
    <m/>
    <m/>
  </r>
  <r>
    <s v="Viatris_MLR and Content Creation"/>
    <s v="Client tracker_Jan2026"/>
    <s v="Viatris"/>
    <s v="MLR and Content Creation"/>
    <s v="Y"/>
    <m/>
    <m/>
    <m/>
    <m/>
    <m/>
    <s v="Y"/>
    <m/>
    <x v="0"/>
    <s v="Akshay, Abhi"/>
    <m/>
    <n v="45876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Client tracker_Feb2026"/>
    <s v="AbbVie"/>
    <s v="Agentic affiliates"/>
    <s v="Y"/>
    <m/>
    <m/>
    <m/>
    <m/>
    <m/>
    <s v="Y"/>
    <m/>
    <s v="Active"/>
    <s v="JD"/>
    <s v="Wolfgang"/>
    <n v="45964"/>
    <s v="No follow ups on DTC"/>
    <m/>
    <m/>
    <m/>
    <m/>
    <m/>
  </r>
  <r>
    <x v="1"/>
    <s v="Client tracker_Feb2026"/>
    <s v="Amgen"/>
    <s v="Growth/Media"/>
    <s v="Y"/>
    <s v="Y"/>
    <m/>
    <m/>
    <m/>
    <m/>
    <m/>
    <m/>
    <s v="Active"/>
    <s v="Sherin"/>
    <s v="Akshay"/>
    <n v="46031"/>
    <m/>
    <m/>
    <m/>
    <m/>
    <m/>
    <m/>
  </r>
  <r>
    <x v="2"/>
    <s v="Client tracker_Feb2026"/>
    <s v="Astellas"/>
    <s v="Brand strategy"/>
    <s v="Y"/>
    <s v="Y"/>
    <m/>
    <m/>
    <m/>
    <s v="Y"/>
    <m/>
    <m/>
    <s v="Active"/>
    <s v="Laura P"/>
    <m/>
    <n v="46031"/>
    <s v="Current phase until March/April"/>
    <m/>
    <m/>
    <m/>
    <m/>
    <m/>
  </r>
  <r>
    <x v="3"/>
    <s v="Client tracker_Feb2026"/>
    <s v="Astellas"/>
    <s v="Project NEXUS (commercial ops)"/>
    <s v="Y"/>
    <m/>
    <m/>
    <m/>
    <m/>
    <m/>
    <m/>
    <m/>
    <s v="Active"/>
    <s v="Laura P"/>
    <m/>
    <n v="46031"/>
    <s v="Until end of March"/>
    <m/>
    <m/>
    <m/>
    <m/>
    <m/>
  </r>
  <r>
    <x v="4"/>
    <s v="Client tracker_Feb2026"/>
    <s v="AstraZeneca"/>
    <s v="Commercial transformation"/>
    <s v="Y"/>
    <m/>
    <m/>
    <m/>
    <m/>
    <s v="Y"/>
    <s v="Y"/>
    <m/>
    <s v="Active"/>
    <s v="Asli"/>
    <m/>
    <n v="46031"/>
    <s v="Confirmed program incl. content + marketeer of the future"/>
    <m/>
    <m/>
    <m/>
    <m/>
    <m/>
  </r>
  <r>
    <x v="5"/>
    <s v="Client tracker_Feb2026"/>
    <s v="B&amp;L"/>
    <s v="Digital transformation (tech stack)"/>
    <m/>
    <m/>
    <m/>
    <m/>
    <m/>
    <m/>
    <s v="Y"/>
    <m/>
    <s v="Active"/>
    <s v="Pepe"/>
    <m/>
    <n v="46031"/>
    <s v="Digital marketing tranformation ongoing"/>
    <m/>
    <m/>
    <m/>
    <m/>
    <m/>
  </r>
  <r>
    <x v="6"/>
    <s v="Client tracker_Feb2026"/>
    <s v="Bausch"/>
    <s v="Marketing Optimization diagnostic"/>
    <s v="Y"/>
    <m/>
    <m/>
    <m/>
    <m/>
    <m/>
    <m/>
    <m/>
    <s v="Active"/>
    <s v="Pepe"/>
    <m/>
    <n v="46031"/>
    <s v="Potential cost oppy for Xifaxan"/>
    <m/>
    <m/>
    <m/>
    <m/>
    <m/>
  </r>
  <r>
    <x v="7"/>
    <s v="Client tracker_Feb2026"/>
    <s v="J&amp;J"/>
    <s v="AI in commercial portfolio"/>
    <s v="Y"/>
    <m/>
    <m/>
    <m/>
    <m/>
    <m/>
    <s v="Y"/>
    <m/>
    <s v="Active"/>
    <s v="Umut"/>
    <m/>
    <n v="45964"/>
    <m/>
    <m/>
    <m/>
    <m/>
    <m/>
    <m/>
  </r>
  <r>
    <x v="8"/>
    <s v="Client tracker_Feb2026"/>
    <s v="Merck AH"/>
    <s v="GEO"/>
    <m/>
    <m/>
    <m/>
    <m/>
    <m/>
    <m/>
    <m/>
    <m/>
    <s v="Active"/>
    <s v="Laura, Wolfgang"/>
    <m/>
    <n v="46051"/>
    <s v="Active until end 2/6"/>
    <m/>
    <m/>
    <m/>
    <m/>
    <m/>
  </r>
  <r>
    <x v="9"/>
    <s v="Client tracker_Feb2026"/>
    <s v="Merck HH"/>
    <s v="Marketing Modernization &amp; Content Acceleration"/>
    <s v="Y"/>
    <m/>
    <m/>
    <m/>
    <m/>
    <s v="Y"/>
    <m/>
    <m/>
    <s v="Active"/>
    <s v="Asli"/>
    <m/>
    <n v="45840"/>
    <m/>
    <m/>
    <m/>
    <m/>
    <m/>
    <m/>
  </r>
  <r>
    <x v="10"/>
    <s v="Client tracker_Feb2026"/>
    <s v="Pfizer"/>
    <s v="CMO/AI roadmap"/>
    <m/>
    <m/>
    <m/>
    <m/>
    <m/>
    <m/>
    <s v="Y"/>
    <m/>
    <s v="Active"/>
    <s v="Akshay, Abhi"/>
    <m/>
    <n v="45840"/>
    <s v="Go back to Judy and Manuel on JO"/>
    <m/>
    <m/>
    <m/>
    <m/>
    <m/>
  </r>
  <r>
    <x v="11"/>
    <s v="Client tracker_Feb2026"/>
    <s v="Viatris"/>
    <s v="Content op model"/>
    <m/>
    <m/>
    <m/>
    <m/>
    <m/>
    <s v="Y"/>
    <m/>
    <m/>
    <s v="Active"/>
    <s v="Akash"/>
    <m/>
    <n v="45991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54A78-900B-48BB-9544-C593D7D4F7A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fieldListSortAscending="1">
  <location ref="A1:B6" firstHeaderRow="1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Deal ID" fld="0" subtotal="count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5A72B-ADA3-4575-8ED5-4CFFD44564F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5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2">
    <i>
      <x/>
    </i>
    <i t="grand">
      <x/>
    </i>
  </rowItems>
  <colItems count="1">
    <i/>
  </colItems>
  <dataFields count="1">
    <dataField name="Count of Deal ID" fld="0" subtotal="count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039F7-6B9A-4AB0-BD99-3E991C728335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2">
    <pivotField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Deal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CB5D1D-ED29-4AA2-8544-0F785498A7BB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Deal 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Deal ID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LS Marketing Tracker xlsx">
        <x15:activeTabTopLevelEntity name="[LS Marketing Tracker xlsx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BD926A20-C71C-40D9-B6B1-71A704F17B99}" autoFormatId="16" applyNumberFormats="0" applyBorderFormats="0" applyFontFormats="0" applyPatternFormats="0" applyAlignmentFormats="0" applyWidthHeightFormats="0">
  <queryTableRefresh nextId="23">
    <queryTableFields count="22">
      <queryTableField id="1" name="Deal ID" tableColumnId="1"/>
      <queryTableField id="2" name="Month Tracker" tableColumnId="2"/>
      <queryTableField id="3" name="Client Name" tableColumnId="3"/>
      <queryTableField id="4" name="Topic" tableColumnId="4"/>
      <queryTableField id="5" name="Overall Marketing" tableColumnId="5"/>
      <queryTableField id="6" name="Performance Marketing" tableColumnId="6"/>
      <queryTableField id="7" name="DTC" tableColumnId="7"/>
      <queryTableField id="8" name="Procurement" tableColumnId="8"/>
      <queryTableField id="9" name="Org/Capabilities" tableColumnId="9"/>
      <queryTableField id="10" name="Content" tableColumnId="10"/>
      <queryTableField id="11" name="AI/GenAI" tableColumnId="11"/>
      <queryTableField id="12" name="Medical Content" tableColumnId="12"/>
      <queryTableField id="13" name="Status" tableColumnId="13"/>
      <queryTableField id="14" name="Domain Lead" tableColumnId="14"/>
      <queryTableField id="15" name="CST Contact" tableColumnId="15"/>
      <queryTableField id="16" name="Date Added/Updated" tableColumnId="16"/>
      <queryTableField id="17" name="Comments" tableColumnId="17"/>
      <queryTableField id="18" name="Data.Column16" tableColumnId="18"/>
      <queryTableField id="19" name="Data.Column17" tableColumnId="19"/>
      <queryTableField id="20" name="Data.Column18" tableColumnId="20"/>
      <queryTableField id="21" name="Data.Column19" tableColumnId="21"/>
      <queryTableField id="22" name="Data.Column20" tableColumnId="2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A766ED2-F320-4E10-859E-1A539A3B6686}" autoFormatId="16" applyNumberFormats="0" applyBorderFormats="0" applyFontFormats="0" applyPatternFormats="0" applyAlignmentFormats="0" applyWidthHeightFormats="0">
  <queryTableRefresh nextId="23">
    <queryTableFields count="22">
      <queryTableField id="1" name="Deal ID" tableColumnId="1"/>
      <queryTableField id="2" name="Month Tracker" tableColumnId="2"/>
      <queryTableField id="3" name="Client Name" tableColumnId="3"/>
      <queryTableField id="4" name="Topic" tableColumnId="4"/>
      <queryTableField id="5" name="Overall Marketing" tableColumnId="5"/>
      <queryTableField id="6" name="Performance Marketing" tableColumnId="6"/>
      <queryTableField id="7" name="DTC" tableColumnId="7"/>
      <queryTableField id="8" name="Procurement" tableColumnId="8"/>
      <queryTableField id="9" name="Org/Capabilities" tableColumnId="9"/>
      <queryTableField id="10" name="Content" tableColumnId="10"/>
      <queryTableField id="11" name="AI/GenAI" tableColumnId="11"/>
      <queryTableField id="12" name="Medical Content" tableColumnId="12"/>
      <queryTableField id="13" name="Status" tableColumnId="13"/>
      <queryTableField id="14" name="Domain Lead" tableColumnId="14"/>
      <queryTableField id="15" name="CST Contact" tableColumnId="15"/>
      <queryTableField id="16" name="Date Added/Updated" tableColumnId="16"/>
      <queryTableField id="17" name="Comments" tableColumnId="17"/>
      <queryTableField id="18" name="Data.Column16" tableColumnId="18"/>
      <queryTableField id="19" name="Data.Column17" tableColumnId="19"/>
      <queryTableField id="20" name="Data.Column18" tableColumnId="20"/>
      <queryTableField id="21" name="Data.Column19" tableColumnId="21"/>
      <queryTableField id="22" name="Data.Column2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9B04DF5-68C4-4985-B52C-785E61750279}" name="Won_Diary_Query" displayName="Won_Diary_Query" ref="A1:V13" tableType="queryTable" totalsRowShown="0">
  <autoFilter ref="A1:V13" xr:uid="{09B04DF5-68C4-4985-B52C-785E61750279}"/>
  <tableColumns count="22">
    <tableColumn id="1" xr3:uid="{4FCD7E64-1A9F-47F9-9C83-74414DDBED98}" uniqueName="1" name="Deal ID" queryTableFieldId="1" dataDxfId="15"/>
    <tableColumn id="2" xr3:uid="{D874640E-72D2-4D5E-A8EB-59BC9E837F02}" uniqueName="2" name="Month Tracker" queryTableFieldId="2" dataDxfId="14"/>
    <tableColumn id="3" xr3:uid="{D77D49C3-0C53-438C-8B9F-846E0A474520}" uniqueName="3" name="Client Name" queryTableFieldId="3" dataDxfId="13"/>
    <tableColumn id="4" xr3:uid="{4D80D71E-8322-4007-B1C6-D488559A91C6}" uniqueName="4" name="Topic" queryTableFieldId="4" dataDxfId="12"/>
    <tableColumn id="5" xr3:uid="{97DB988A-3498-4E6D-A4D3-4B6B3E136D0F}" uniqueName="5" name="Overall Marketing" queryTableFieldId="5" dataDxfId="11"/>
    <tableColumn id="6" xr3:uid="{0748E8F3-7B5E-43B3-84C2-DDC7015484C4}" uniqueName="6" name="Performance Marketing" queryTableFieldId="6" dataDxfId="10"/>
    <tableColumn id="7" xr3:uid="{1FDC5A11-3A8C-4B8B-9655-FA51290B8A5B}" uniqueName="7" name="DTC" queryTableFieldId="7"/>
    <tableColumn id="8" xr3:uid="{B267581F-2D54-4F81-AF5B-76ABB0153C3A}" uniqueName="8" name="Procurement" queryTableFieldId="8" dataDxfId="9"/>
    <tableColumn id="9" xr3:uid="{24DEC8BD-685F-4BEA-B255-2663501F39A9}" uniqueName="9" name="Org/Capabilities" queryTableFieldId="9" dataDxfId="8"/>
    <tableColumn id="10" xr3:uid="{775A9B1A-68B2-4349-90C7-4F8086D663B1}" uniqueName="10" name="Content" queryTableFieldId="10" dataDxfId="7"/>
    <tableColumn id="11" xr3:uid="{082C7BBB-05FD-4513-A175-5734BFD7312E}" uniqueName="11" name="AI/GenAI" queryTableFieldId="11" dataDxfId="6"/>
    <tableColumn id="12" xr3:uid="{20F7CF32-8322-4D48-A05B-D9DA408966B2}" uniqueName="12" name="Medical Content" queryTableFieldId="12" dataDxfId="5"/>
    <tableColumn id="13" xr3:uid="{03C121A8-71E4-450B-B834-F5AD20B1BE33}" uniqueName="13" name="Status" queryTableFieldId="13" dataDxfId="4"/>
    <tableColumn id="14" xr3:uid="{DD82E71C-5701-4C7A-A145-812BE7C89747}" uniqueName="14" name="Domain Lead" queryTableFieldId="14" dataDxfId="3"/>
    <tableColumn id="15" xr3:uid="{35AA5921-8B24-4ED7-87F0-CF10B9EF79B9}" uniqueName="15" name="CST Contact" queryTableFieldId="15" dataDxfId="2"/>
    <tableColumn id="16" xr3:uid="{4A369147-AB42-4F3D-8A01-182021537860}" uniqueName="16" name="Date Added/Updated" queryTableFieldId="16" dataDxfId="1"/>
    <tableColumn id="17" xr3:uid="{6B91A9FE-5DE3-44C7-B270-6F1BBA68F841}" uniqueName="17" name="Comments" queryTableFieldId="17" dataDxfId="0"/>
    <tableColumn id="18" xr3:uid="{D223D96D-BCB7-4DC0-89AD-625B6244172C}" uniqueName="18" name="Data.Column16" queryTableFieldId="18"/>
    <tableColumn id="19" xr3:uid="{DFD64EB8-4E8A-4728-80C7-87F7B32A2C6F}" uniqueName="19" name="Data.Column17" queryTableFieldId="19"/>
    <tableColumn id="20" xr3:uid="{E62636D4-0189-41EF-B107-2B57DEFF4B7A}" uniqueName="20" name="Data.Column18" queryTableFieldId="20"/>
    <tableColumn id="21" xr3:uid="{B65F3839-7AA5-4D05-91C4-66AC480B91F1}" uniqueName="21" name="Data.Column19" queryTableFieldId="21"/>
    <tableColumn id="22" xr3:uid="{C1E5F297-189A-46B9-8C33-99286F623B51}" uniqueName="22" name="Data.Column20" queryTableField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4A5A9C3-616C-492F-8594-7CB5A032AC60}" name="Abandoned_Diary_Query" displayName="Abandoned_Diary_Query" ref="A1:V4" tableType="queryTable" totalsRowShown="0">
  <autoFilter ref="A1:V4" xr:uid="{84A5A9C3-616C-492F-8594-7CB5A032AC60}"/>
  <tableColumns count="22">
    <tableColumn id="1" xr3:uid="{249133BD-3B9A-4CD7-9662-E17C8D45CD81}" uniqueName="1" name="Deal ID" queryTableFieldId="1" dataDxfId="24"/>
    <tableColumn id="2" xr3:uid="{17186A16-2514-4556-9F79-F06B1387BF96}" uniqueName="2" name="Month Tracker" queryTableFieldId="2" dataDxfId="23"/>
    <tableColumn id="3" xr3:uid="{4ED7509D-9F3B-4955-AB71-911A3282C400}" uniqueName="3" name="Client Name" queryTableFieldId="3" dataDxfId="22"/>
    <tableColumn id="4" xr3:uid="{E02051EA-6EA5-4430-998B-2A805C171CFD}" uniqueName="4" name="Topic" queryTableFieldId="4" dataDxfId="21"/>
    <tableColumn id="5" xr3:uid="{90451E48-2B0E-4B8A-AF43-84D33E045326}" uniqueName="5" name="Overall Marketing" queryTableFieldId="5" dataDxfId="20"/>
    <tableColumn id="6" xr3:uid="{5463A1CE-9F09-49FD-9A42-59DE128407C3}" uniqueName="6" name="Performance Marketing" queryTableFieldId="6"/>
    <tableColumn id="7" xr3:uid="{EEDAEC76-DAE6-451A-812C-E8C9DDBB4631}" uniqueName="7" name="DTC" queryTableFieldId="7"/>
    <tableColumn id="8" xr3:uid="{8530DCEF-E021-4E0C-B5D7-043C7BDD3F38}" uniqueName="8" name="Procurement" queryTableFieldId="8"/>
    <tableColumn id="9" xr3:uid="{EB812650-9585-4F78-B731-F8F5896FC1D5}" uniqueName="9" name="Org/Capabilities" queryTableFieldId="9"/>
    <tableColumn id="10" xr3:uid="{FA8452D5-639D-460F-BF95-BA1F0A209555}" uniqueName="10" name="Content" queryTableFieldId="10"/>
    <tableColumn id="11" xr3:uid="{1FE66F30-7FFC-452B-A6BF-3AC9B90ED5B2}" uniqueName="11" name="AI/GenAI" queryTableFieldId="11" dataDxfId="19"/>
    <tableColumn id="12" xr3:uid="{8D332D24-5D39-4F79-996A-AE300371516D}" uniqueName="12" name="Medical Content" queryTableFieldId="12"/>
    <tableColumn id="13" xr3:uid="{E7B0FBF0-15C9-41E8-80DF-F3D0DB8448D8}" uniqueName="13" name="Status" queryTableFieldId="13" dataDxfId="18"/>
    <tableColumn id="14" xr3:uid="{5ECEEBA0-981F-4AD7-B954-D961EE218D08}" uniqueName="14" name="Domain Lead" queryTableFieldId="14" dataDxfId="17"/>
    <tableColumn id="15" xr3:uid="{A8429BE0-54EC-4569-B1B7-C0A694C5D6F2}" uniqueName="15" name="CST Contact" queryTableFieldId="15"/>
    <tableColumn id="16" xr3:uid="{85BA4013-E966-43A6-9DD2-40FFF8763E31}" uniqueName="16" name="Date Added/Updated" queryTableFieldId="16"/>
    <tableColumn id="17" xr3:uid="{39B2D094-247A-4246-A5B2-EFFC891EFB01}" uniqueName="17" name="Comments" queryTableFieldId="17" dataDxfId="16"/>
    <tableColumn id="18" xr3:uid="{BC59D299-7E92-4E4A-A6FC-5B7ED88C4ED6}" uniqueName="18" name="Data.Column16" queryTableFieldId="18"/>
    <tableColumn id="19" xr3:uid="{FD7008D4-F6CC-4FF3-8685-3409A90490D9}" uniqueName="19" name="Data.Column17" queryTableFieldId="19"/>
    <tableColumn id="20" xr3:uid="{5C0BF478-7DD1-4F86-B673-69C028956A43}" uniqueName="20" name="Data.Column18" queryTableFieldId="20"/>
    <tableColumn id="21" xr3:uid="{85DED526-4AEF-473F-A0A7-CD728D748C1C}" uniqueName="21" name="Data.Column19" queryTableFieldId="21"/>
    <tableColumn id="22" xr3:uid="{F3A70A69-B531-46F6-AE9C-B1A6A4A61211}" uniqueName="22" name="Data.Column20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ED08-4F77-4F06-B394-BADF6C10C5B1}">
  <dimension ref="A1:B6"/>
  <sheetViews>
    <sheetView workbookViewId="0">
      <selection activeCell="A5" sqref="A5"/>
    </sheetView>
  </sheetViews>
  <sheetFormatPr defaultRowHeight="14.5" x14ac:dyDescent="0.35"/>
  <cols>
    <col min="1" max="1" width="12.453125" bestFit="1" customWidth="1"/>
    <col min="2" max="2" width="14.36328125" bestFit="1" customWidth="1"/>
  </cols>
  <sheetData>
    <row r="1" spans="1:2" x14ac:dyDescent="0.35">
      <c r="A1" s="1" t="s">
        <v>93</v>
      </c>
      <c r="B1" t="s">
        <v>95</v>
      </c>
    </row>
    <row r="2" spans="1:2" x14ac:dyDescent="0.35">
      <c r="A2" s="2" t="s">
        <v>10</v>
      </c>
      <c r="B2">
        <v>23</v>
      </c>
    </row>
    <row r="3" spans="1:2" x14ac:dyDescent="0.35">
      <c r="A3" s="2" t="s">
        <v>17</v>
      </c>
      <c r="B3">
        <v>8</v>
      </c>
    </row>
    <row r="4" spans="1:2" x14ac:dyDescent="0.35">
      <c r="A4" s="2" t="s">
        <v>69</v>
      </c>
      <c r="B4">
        <v>12</v>
      </c>
    </row>
    <row r="5" spans="1:2" x14ac:dyDescent="0.35">
      <c r="A5" s="2" t="s">
        <v>44</v>
      </c>
      <c r="B5">
        <v>5</v>
      </c>
    </row>
    <row r="6" spans="1:2" x14ac:dyDescent="0.35">
      <c r="A6" s="2" t="s">
        <v>94</v>
      </c>
      <c r="B6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3516-BD06-4DF1-9477-8EF37300057E}">
  <dimension ref="A1"/>
  <sheetViews>
    <sheetView showGridLines="0" tabSelected="1" topLeftCell="B1" workbookViewId="0">
      <selection activeCell="V25" sqref="V2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F7642-AA9F-4E06-B6B2-172CB8B7F838}">
  <dimension ref="A3:B5"/>
  <sheetViews>
    <sheetView workbookViewId="0">
      <selection activeCell="A3" sqref="A3"/>
    </sheetView>
  </sheetViews>
  <sheetFormatPr defaultRowHeight="14.5" x14ac:dyDescent="0.35"/>
  <cols>
    <col min="1" max="1" width="12.453125" bestFit="1" customWidth="1"/>
    <col min="2" max="2" width="14.36328125" bestFit="1" customWidth="1"/>
  </cols>
  <sheetData>
    <row r="3" spans="1:2" x14ac:dyDescent="0.35">
      <c r="A3" s="1" t="s">
        <v>93</v>
      </c>
      <c r="B3" t="s">
        <v>95</v>
      </c>
    </row>
    <row r="4" spans="1:2" x14ac:dyDescent="0.35">
      <c r="A4" s="2" t="s">
        <v>10</v>
      </c>
      <c r="B4">
        <v>3</v>
      </c>
    </row>
    <row r="5" spans="1:2" x14ac:dyDescent="0.35">
      <c r="A5" s="2" t="s">
        <v>94</v>
      </c>
      <c r="B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C76F-50C7-48C1-84F0-4BD3CA64B456}">
  <dimension ref="A3:A4"/>
  <sheetViews>
    <sheetView workbookViewId="0">
      <selection activeCell="A4" sqref="A4"/>
    </sheetView>
  </sheetViews>
  <sheetFormatPr defaultRowHeight="14.5" x14ac:dyDescent="0.35"/>
  <cols>
    <col min="1" max="1" width="14.36328125" bestFit="1" customWidth="1"/>
  </cols>
  <sheetData>
    <row r="3" spans="1:1" x14ac:dyDescent="0.35">
      <c r="A3" t="s">
        <v>95</v>
      </c>
    </row>
    <row r="4" spans="1:1" x14ac:dyDescent="0.35">
      <c r="A4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CE2F-1B3F-48CF-9F4E-9B8C307A0087}">
  <dimension ref="A1:A23"/>
  <sheetViews>
    <sheetView topLeftCell="A7" workbookViewId="0">
      <selection activeCell="A23" sqref="A23"/>
    </sheetView>
  </sheetViews>
  <sheetFormatPr defaultRowHeight="14.5" x14ac:dyDescent="0.35"/>
  <cols>
    <col min="1" max="1" width="21.54296875" bestFit="1" customWidth="1"/>
  </cols>
  <sheetData>
    <row r="1" spans="1:1" x14ac:dyDescent="0.35">
      <c r="A1" t="s">
        <v>96</v>
      </c>
    </row>
    <row r="2" spans="1:1" x14ac:dyDescent="0.35">
      <c r="A2">
        <v>51</v>
      </c>
    </row>
    <row r="23" spans="1:1" x14ac:dyDescent="0.35">
      <c r="A23" s="3">
        <f>GETPIVOTDATA("Deal ID",Won!$A$3)/GETPIVOTDATA("[Measures].[Distinct Count of Deal ID]",$A$1)</f>
        <v>0.23529411764705882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9789A-219A-432E-B163-9889D2EFBB10}">
  <dimension ref="A1:V13"/>
  <sheetViews>
    <sheetView workbookViewId="0">
      <selection sqref="A1:V13"/>
    </sheetView>
  </sheetViews>
  <sheetFormatPr defaultRowHeight="14.5" x14ac:dyDescent="0.35"/>
  <cols>
    <col min="1" max="1" width="49.26953125" bestFit="1" customWidth="1"/>
    <col min="2" max="2" width="19.81640625" bestFit="1" customWidth="1"/>
    <col min="3" max="3" width="13.453125" bestFit="1" customWidth="1"/>
    <col min="4" max="4" width="40.36328125" bestFit="1" customWidth="1"/>
    <col min="5" max="5" width="17.7265625" bestFit="1" customWidth="1"/>
    <col min="6" max="6" width="22.6328125" bestFit="1" customWidth="1"/>
    <col min="7" max="7" width="6.54296875" bestFit="1" customWidth="1"/>
    <col min="8" max="8" width="13.90625" bestFit="1" customWidth="1"/>
    <col min="9" max="9" width="16.90625" bestFit="1" customWidth="1"/>
    <col min="10" max="10" width="9.81640625" bestFit="1" customWidth="1"/>
    <col min="11" max="11" width="10.453125" bestFit="1" customWidth="1"/>
    <col min="12" max="12" width="16.90625" bestFit="1" customWidth="1"/>
    <col min="13" max="13" width="8.453125" bestFit="1" customWidth="1"/>
    <col min="14" max="14" width="14" bestFit="1" customWidth="1"/>
    <col min="15" max="15" width="13.36328125" bestFit="1" customWidth="1"/>
    <col min="16" max="16" width="20.81640625" bestFit="1" customWidth="1"/>
    <col min="17" max="17" width="47.81640625" bestFit="1" customWidth="1"/>
    <col min="18" max="22" width="16.26953125" bestFit="1" customWidth="1"/>
  </cols>
  <sheetData>
    <row r="1" spans="1:22" x14ac:dyDescent="0.35">
      <c r="A1" t="s">
        <v>77</v>
      </c>
      <c r="B1" t="s">
        <v>55</v>
      </c>
      <c r="C1" t="s">
        <v>56</v>
      </c>
      <c r="D1" t="s">
        <v>0</v>
      </c>
      <c r="E1" t="s">
        <v>57</v>
      </c>
      <c r="F1" t="s">
        <v>1</v>
      </c>
      <c r="G1" t="s">
        <v>2</v>
      </c>
      <c r="H1" t="s">
        <v>3</v>
      </c>
      <c r="I1" t="s">
        <v>58</v>
      </c>
      <c r="J1" t="s">
        <v>4</v>
      </c>
      <c r="K1" t="s">
        <v>5</v>
      </c>
      <c r="L1" t="s">
        <v>59</v>
      </c>
      <c r="M1" t="s">
        <v>6</v>
      </c>
      <c r="N1" t="s">
        <v>60</v>
      </c>
      <c r="O1" t="s">
        <v>61</v>
      </c>
      <c r="P1" t="s">
        <v>62</v>
      </c>
      <c r="Q1" t="s">
        <v>7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</row>
    <row r="2" spans="1:22" x14ac:dyDescent="0.35">
      <c r="A2" t="s">
        <v>78</v>
      </c>
      <c r="B2" t="s">
        <v>68</v>
      </c>
      <c r="C2" t="s">
        <v>8</v>
      </c>
      <c r="D2" t="s">
        <v>12</v>
      </c>
      <c r="E2" t="s">
        <v>9</v>
      </c>
      <c r="K2" t="s">
        <v>9</v>
      </c>
      <c r="M2" t="s">
        <v>69</v>
      </c>
      <c r="N2" t="s">
        <v>32</v>
      </c>
      <c r="O2" t="s">
        <v>13</v>
      </c>
      <c r="P2">
        <v>45964</v>
      </c>
      <c r="Q2" t="s">
        <v>14</v>
      </c>
    </row>
    <row r="3" spans="1:22" x14ac:dyDescent="0.35">
      <c r="A3" t="s">
        <v>79</v>
      </c>
      <c r="B3" t="s">
        <v>68</v>
      </c>
      <c r="C3" t="s">
        <v>15</v>
      </c>
      <c r="D3" t="s">
        <v>70</v>
      </c>
      <c r="E3" t="s">
        <v>9</v>
      </c>
      <c r="F3" t="s">
        <v>9</v>
      </c>
      <c r="M3" t="s">
        <v>69</v>
      </c>
      <c r="N3" t="s">
        <v>53</v>
      </c>
      <c r="O3" t="s">
        <v>16</v>
      </c>
      <c r="P3">
        <v>46031</v>
      </c>
    </row>
    <row r="4" spans="1:22" x14ac:dyDescent="0.35">
      <c r="A4" t="s">
        <v>80</v>
      </c>
      <c r="B4" t="s">
        <v>68</v>
      </c>
      <c r="C4" t="s">
        <v>18</v>
      </c>
      <c r="D4" t="s">
        <v>71</v>
      </c>
      <c r="E4" t="s">
        <v>9</v>
      </c>
      <c r="F4" t="s">
        <v>9</v>
      </c>
      <c r="J4" t="s">
        <v>9</v>
      </c>
      <c r="M4" t="s">
        <v>69</v>
      </c>
      <c r="N4" t="s">
        <v>19</v>
      </c>
      <c r="P4">
        <v>46031</v>
      </c>
      <c r="Q4" t="s">
        <v>54</v>
      </c>
    </row>
    <row r="5" spans="1:22" x14ac:dyDescent="0.35">
      <c r="A5" t="s">
        <v>81</v>
      </c>
      <c r="B5" t="s">
        <v>68</v>
      </c>
      <c r="C5" t="s">
        <v>18</v>
      </c>
      <c r="D5" t="s">
        <v>20</v>
      </c>
      <c r="E5" t="s">
        <v>9</v>
      </c>
      <c r="M5" t="s">
        <v>69</v>
      </c>
      <c r="N5" t="s">
        <v>19</v>
      </c>
      <c r="P5">
        <v>46031</v>
      </c>
      <c r="Q5" t="s">
        <v>21</v>
      </c>
    </row>
    <row r="6" spans="1:22" x14ac:dyDescent="0.35">
      <c r="A6" t="s">
        <v>82</v>
      </c>
      <c r="B6" t="s">
        <v>68</v>
      </c>
      <c r="C6" t="s">
        <v>22</v>
      </c>
      <c r="D6" t="s">
        <v>72</v>
      </c>
      <c r="E6" t="s">
        <v>9</v>
      </c>
      <c r="J6" t="s">
        <v>9</v>
      </c>
      <c r="K6" t="s">
        <v>9</v>
      </c>
      <c r="M6" t="s">
        <v>69</v>
      </c>
      <c r="N6" t="s">
        <v>37</v>
      </c>
      <c r="P6">
        <v>46031</v>
      </c>
      <c r="Q6" t="s">
        <v>23</v>
      </c>
    </row>
    <row r="7" spans="1:22" x14ac:dyDescent="0.35">
      <c r="A7" t="s">
        <v>83</v>
      </c>
      <c r="B7" t="s">
        <v>68</v>
      </c>
      <c r="C7" t="s">
        <v>24</v>
      </c>
      <c r="D7" t="s">
        <v>26</v>
      </c>
      <c r="K7" t="s">
        <v>9</v>
      </c>
      <c r="M7" t="s">
        <v>69</v>
      </c>
      <c r="N7" t="s">
        <v>25</v>
      </c>
      <c r="P7">
        <v>46031</v>
      </c>
      <c r="Q7" t="s">
        <v>27</v>
      </c>
    </row>
    <row r="8" spans="1:22" x14ac:dyDescent="0.35">
      <c r="A8" t="s">
        <v>84</v>
      </c>
      <c r="B8" t="s">
        <v>68</v>
      </c>
      <c r="C8" t="s">
        <v>28</v>
      </c>
      <c r="D8" t="s">
        <v>29</v>
      </c>
      <c r="E8" t="s">
        <v>9</v>
      </c>
      <c r="M8" t="s">
        <v>69</v>
      </c>
      <c r="N8" t="s">
        <v>25</v>
      </c>
      <c r="P8">
        <v>46031</v>
      </c>
      <c r="Q8" t="s">
        <v>30</v>
      </c>
    </row>
    <row r="9" spans="1:22" x14ac:dyDescent="0.35">
      <c r="A9" t="s">
        <v>85</v>
      </c>
      <c r="B9" t="s">
        <v>68</v>
      </c>
      <c r="C9" t="s">
        <v>35</v>
      </c>
      <c r="D9" t="s">
        <v>36</v>
      </c>
      <c r="E9" t="s">
        <v>9</v>
      </c>
      <c r="K9" t="s">
        <v>9</v>
      </c>
      <c r="M9" t="s">
        <v>69</v>
      </c>
      <c r="N9" t="s">
        <v>31</v>
      </c>
      <c r="P9">
        <v>45964</v>
      </c>
    </row>
    <row r="10" spans="1:22" x14ac:dyDescent="0.35">
      <c r="A10" t="s">
        <v>86</v>
      </c>
      <c r="B10" t="s">
        <v>68</v>
      </c>
      <c r="C10" t="s">
        <v>38</v>
      </c>
      <c r="D10" t="s">
        <v>11</v>
      </c>
      <c r="M10" t="s">
        <v>69</v>
      </c>
      <c r="N10" t="s">
        <v>39</v>
      </c>
      <c r="P10">
        <v>46051</v>
      </c>
      <c r="Q10" t="s">
        <v>40</v>
      </c>
    </row>
    <row r="11" spans="1:22" x14ac:dyDescent="0.35">
      <c r="A11" t="s">
        <v>87</v>
      </c>
      <c r="B11" t="s">
        <v>68</v>
      </c>
      <c r="C11" t="s">
        <v>41</v>
      </c>
      <c r="D11" t="s">
        <v>42</v>
      </c>
      <c r="E11" t="s">
        <v>9</v>
      </c>
      <c r="J11" t="s">
        <v>9</v>
      </c>
      <c r="M11" t="s">
        <v>69</v>
      </c>
      <c r="N11" t="s">
        <v>37</v>
      </c>
      <c r="P11">
        <v>45840</v>
      </c>
    </row>
    <row r="12" spans="1:22" x14ac:dyDescent="0.35">
      <c r="A12" t="s">
        <v>88</v>
      </c>
      <c r="B12" t="s">
        <v>68</v>
      </c>
      <c r="C12" t="s">
        <v>45</v>
      </c>
      <c r="D12" t="s">
        <v>46</v>
      </c>
      <c r="K12" t="s">
        <v>9</v>
      </c>
      <c r="M12" t="s">
        <v>69</v>
      </c>
      <c r="N12" t="s">
        <v>43</v>
      </c>
      <c r="P12">
        <v>45840</v>
      </c>
      <c r="Q12" t="s">
        <v>47</v>
      </c>
    </row>
    <row r="13" spans="1:22" x14ac:dyDescent="0.35">
      <c r="A13" t="s">
        <v>89</v>
      </c>
      <c r="B13" t="s">
        <v>68</v>
      </c>
      <c r="C13" t="s">
        <v>48</v>
      </c>
      <c r="D13" t="s">
        <v>51</v>
      </c>
      <c r="J13" t="s">
        <v>9</v>
      </c>
      <c r="M13" t="s">
        <v>69</v>
      </c>
      <c r="N13" t="s">
        <v>52</v>
      </c>
      <c r="P13">
        <v>45991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114F9-CE69-43F4-82F8-E4128D0E3D93}">
  <dimension ref="A1:V4"/>
  <sheetViews>
    <sheetView workbookViewId="0">
      <selection sqref="A1:V4"/>
    </sheetView>
  </sheetViews>
  <sheetFormatPr defaultRowHeight="14.5" x14ac:dyDescent="0.35"/>
  <cols>
    <col min="1" max="1" width="28.26953125" bestFit="1" customWidth="1"/>
    <col min="2" max="2" width="19.453125" bestFit="1" customWidth="1"/>
    <col min="3" max="3" width="13.453125" bestFit="1" customWidth="1"/>
    <col min="4" max="4" width="22.1796875" bestFit="1" customWidth="1"/>
    <col min="5" max="5" width="17.7265625" bestFit="1" customWidth="1"/>
    <col min="6" max="6" width="22.6328125" bestFit="1" customWidth="1"/>
    <col min="7" max="7" width="6.54296875" bestFit="1" customWidth="1"/>
    <col min="8" max="8" width="13.90625" bestFit="1" customWidth="1"/>
    <col min="9" max="9" width="16.90625" bestFit="1" customWidth="1"/>
    <col min="10" max="10" width="9.81640625" bestFit="1" customWidth="1"/>
    <col min="11" max="11" width="10.453125" bestFit="1" customWidth="1"/>
    <col min="12" max="12" width="16.90625" bestFit="1" customWidth="1"/>
    <col min="13" max="13" width="9.7265625" bestFit="1" customWidth="1"/>
    <col min="14" max="14" width="14" bestFit="1" customWidth="1"/>
    <col min="15" max="15" width="13.36328125" bestFit="1" customWidth="1"/>
    <col min="16" max="16" width="20.81640625" bestFit="1" customWidth="1"/>
    <col min="17" max="17" width="35.7265625" bestFit="1" customWidth="1"/>
    <col min="18" max="22" width="16.26953125" bestFit="1" customWidth="1"/>
  </cols>
  <sheetData>
    <row r="1" spans="1:22" x14ac:dyDescent="0.35">
      <c r="A1" t="s">
        <v>77</v>
      </c>
      <c r="B1" t="s">
        <v>55</v>
      </c>
      <c r="C1" t="s">
        <v>56</v>
      </c>
      <c r="D1" t="s">
        <v>0</v>
      </c>
      <c r="E1" t="s">
        <v>57</v>
      </c>
      <c r="F1" t="s">
        <v>1</v>
      </c>
      <c r="G1" t="s">
        <v>2</v>
      </c>
      <c r="H1" t="s">
        <v>3</v>
      </c>
      <c r="I1" t="s">
        <v>58</v>
      </c>
      <c r="J1" t="s">
        <v>4</v>
      </c>
      <c r="K1" t="s">
        <v>5</v>
      </c>
      <c r="L1" t="s">
        <v>59</v>
      </c>
      <c r="M1" t="s">
        <v>6</v>
      </c>
      <c r="N1" t="s">
        <v>60</v>
      </c>
      <c r="O1" t="s">
        <v>61</v>
      </c>
      <c r="P1" t="s">
        <v>62</v>
      </c>
      <c r="Q1" t="s">
        <v>7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</row>
    <row r="2" spans="1:22" x14ac:dyDescent="0.35">
      <c r="A2" t="s">
        <v>90</v>
      </c>
      <c r="B2" t="s">
        <v>73</v>
      </c>
      <c r="C2" t="s">
        <v>33</v>
      </c>
      <c r="D2" t="s">
        <v>34</v>
      </c>
      <c r="E2" t="s">
        <v>9</v>
      </c>
      <c r="K2" t="s">
        <v>9</v>
      </c>
      <c r="M2" t="s">
        <v>10</v>
      </c>
      <c r="N2" t="s">
        <v>13</v>
      </c>
      <c r="P2">
        <v>45900</v>
      </c>
      <c r="Q2" t="s">
        <v>74</v>
      </c>
    </row>
    <row r="3" spans="1:22" x14ac:dyDescent="0.35">
      <c r="A3" t="s">
        <v>91</v>
      </c>
      <c r="B3" t="s">
        <v>73</v>
      </c>
      <c r="C3" t="s">
        <v>48</v>
      </c>
      <c r="D3" t="s">
        <v>75</v>
      </c>
      <c r="K3" t="s">
        <v>9</v>
      </c>
      <c r="M3" t="s">
        <v>10</v>
      </c>
      <c r="N3" t="s">
        <v>49</v>
      </c>
      <c r="P3">
        <v>45840</v>
      </c>
      <c r="Q3" t="s">
        <v>50</v>
      </c>
    </row>
    <row r="4" spans="1:22" x14ac:dyDescent="0.35">
      <c r="A4" t="s">
        <v>92</v>
      </c>
      <c r="B4" t="s">
        <v>73</v>
      </c>
      <c r="C4" t="s">
        <v>48</v>
      </c>
      <c r="D4" t="s">
        <v>76</v>
      </c>
      <c r="E4" t="s">
        <v>9</v>
      </c>
      <c r="K4" t="s">
        <v>9</v>
      </c>
      <c r="M4" t="s">
        <v>10</v>
      </c>
      <c r="N4" t="s">
        <v>43</v>
      </c>
      <c r="P4">
        <v>45876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6DC9BB-5277-4FD5-A3BA-B074AFE8B5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Current</vt:lpstr>
      <vt:lpstr>Dashboard</vt:lpstr>
      <vt:lpstr>Abandoned Analysis</vt:lpstr>
      <vt:lpstr>Won</vt:lpstr>
      <vt:lpstr>Master</vt:lpstr>
      <vt:lpstr>Won_Diary_Query</vt:lpstr>
      <vt:lpstr>Abandoned_Diary_Query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Jegbefume</dc:creator>
  <cp:lastModifiedBy>Paul Jegbefume</cp:lastModifiedBy>
  <dcterms:created xsi:type="dcterms:W3CDTF">2026-02-23T20:01:36Z</dcterms:created>
  <dcterms:modified xsi:type="dcterms:W3CDTF">2026-04-06T20:35:57Z</dcterms:modified>
</cp:coreProperties>
</file>